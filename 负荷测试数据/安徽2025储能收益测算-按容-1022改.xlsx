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10480" activeTab="1"/>
  </bookViews>
  <sheets>
    <sheet name="基本数据输入&amp;测算结果" sheetId="7" r:id="rId1"/>
    <sheet name="负荷数据&amp;测算" sheetId="1" r:id="rId2"/>
    <sheet name="经济测算" sheetId="4" r:id="rId3"/>
    <sheet name="Sheet1" sheetId="8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<sst xmlns="http://schemas.openxmlformats.org/spreadsheetml/2006/main" count="753" uniqueCount="466">
  <si>
    <t>安徽电价区间</t>
  </si>
  <si>
    <t>7-9月</t>
  </si>
  <si>
    <t>平</t>
  </si>
  <si>
    <t>谷</t>
  </si>
  <si>
    <t>峰</t>
  </si>
  <si>
    <t>充放电策略</t>
  </si>
  <si>
    <t>待机</t>
  </si>
  <si>
    <t>充</t>
  </si>
  <si>
    <t>放</t>
  </si>
  <si>
    <t>1、12月</t>
  </si>
  <si>
    <t>其他月份</t>
  </si>
  <si>
    <t>7月15日-8月31日</t>
  </si>
  <si>
    <t>尖</t>
  </si>
  <si>
    <t>12月15日-1月31日</t>
  </si>
  <si>
    <t>基本信息输入</t>
  </si>
  <si>
    <t>满充率</t>
  </si>
  <si>
    <t>第一次充电</t>
  </si>
  <si>
    <t>第二次充电</t>
  </si>
  <si>
    <t>放电率</t>
  </si>
  <si>
    <t>第一次放电</t>
  </si>
  <si>
    <t>第二次放电</t>
  </si>
  <si>
    <t>充放次数</t>
  </si>
  <si>
    <t xml:space="preserve"> </t>
  </si>
  <si>
    <t>尖电价比例</t>
  </si>
  <si>
    <t>第一次放电尖电价比例</t>
  </si>
  <si>
    <t>第二次放电尖电价比例</t>
  </si>
  <si>
    <t>变压器容量</t>
  </si>
  <si>
    <t>1月</t>
  </si>
  <si>
    <t>电池容量</t>
  </si>
  <si>
    <t>2月</t>
  </si>
  <si>
    <t>充放深度</t>
  </si>
  <si>
    <t>3月</t>
  </si>
  <si>
    <t>单边效率</t>
  </si>
  <si>
    <t>4月</t>
  </si>
  <si>
    <t>充电余量</t>
  </si>
  <si>
    <t>5月</t>
  </si>
  <si>
    <t>放电余量</t>
  </si>
  <si>
    <t>6月</t>
  </si>
  <si>
    <t>7月</t>
  </si>
  <si>
    <t>8月</t>
  </si>
  <si>
    <t>9月</t>
  </si>
  <si>
    <t>10月</t>
  </si>
  <si>
    <t>11月</t>
  </si>
  <si>
    <t>12月</t>
  </si>
  <si>
    <t>年均</t>
  </si>
  <si>
    <t>天数</t>
  </si>
  <si>
    <t>时间</t>
  </si>
  <si>
    <t>第一次可充电量</t>
  </si>
  <si>
    <t xml:space="preserve">第一次满充率 </t>
  </si>
  <si>
    <t xml:space="preserve"> 第一次可放电量</t>
  </si>
  <si>
    <t>第一次放电率</t>
  </si>
  <si>
    <t>第二次可充电量</t>
  </si>
  <si>
    <t>第二次满充率</t>
  </si>
  <si>
    <t>第二次可放电量</t>
  </si>
  <si>
    <t>第二次放电率</t>
  </si>
  <si>
    <t>充放电次数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</si>
  <si>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</si>
  <si>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</si>
  <si>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</si>
  <si>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</si>
  <si>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</si>
  <si>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</si>
  <si>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</si>
  <si>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</si>
  <si>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</si>
  <si>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</si>
  <si>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</si>
  <si>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</si>
  <si>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</si>
  <si>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</si>
  <si>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</si>
  <si>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</si>
  <si>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</si>
  <si>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</si>
  <si>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</si>
  <si>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</si>
  <si>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</si>
  <si>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</si>
  <si>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</si>
  <si>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</si>
  <si>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</si>
  <si>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</si>
  <si>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</si>
  <si>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</si>
  <si>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</si>
  <si>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</si>
  <si>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</si>
  <si>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</si>
  <si>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</si>
  <si>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</si>
  <si>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</si>
  <si>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</si>
  <si>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</si>
  <si>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</si>
  <si>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</si>
  <si>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</si>
  <si>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</si>
  <si>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</si>
  <si>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</si>
  <si>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</si>
  <si>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</si>
  <si>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</si>
  <si>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</si>
  <si>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</si>
  <si>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</si>
  <si>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</si>
  <si>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</si>
  <si>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</si>
  <si>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</si>
  <si>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</si>
  <si>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</si>
  <si>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</si>
  <si>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</si>
  <si>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</si>
  <si>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</si>
  <si>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</si>
  <si>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</si>
  <si>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</si>
  <si>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</si>
  <si>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</si>
  <si>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</si>
  <si>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</si>
  <si>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</si>
  <si>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</si>
  <si>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</si>
  <si>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</si>
  <si>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</si>
  <si>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</si>
  <si>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</si>
  <si>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</si>
  <si>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</si>
  <si>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</si>
  <si>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</si>
  <si>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</si>
  <si>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</si>
  <si>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</si>
  <si>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</si>
  <si>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</si>
  <si>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</si>
  <si>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</si>
  <si>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</si>
  <si>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</si>
  <si>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</si>
  <si>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</si>
  <si>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</si>
  <si>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</si>
  <si>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</si>
  <si>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</si>
  <si>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</si>
  <si>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</si>
  <si>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</si>
  <si>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</si>
  <si>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</si>
  <si>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</si>
  <si>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</si>
  <si>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</si>
  <si>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</si>
  <si>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</si>
  <si>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</si>
  <si>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</si>
  <si>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</si>
  <si>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</si>
  <si>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</si>
  <si>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</si>
  <si>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</si>
  <si>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</si>
  <si>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</si>
  <si>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</si>
  <si>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</si>
  <si>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</si>
  <si>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</si>
  <si>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</si>
  <si>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</si>
  <si>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</si>
  <si>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</si>
  <si>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</si>
  <si>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</si>
  <si>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</si>
  <si>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</si>
  <si>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</si>
  <si>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</si>
  <si>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</si>
  <si>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</si>
  <si>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</si>
  <si>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</si>
  <si>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</si>
  <si>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</si>
  <si>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</si>
  <si>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</si>
  <si>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</si>
  <si>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</si>
  <si>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</si>
  <si>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</si>
  <si>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</si>
  <si>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</si>
  <si>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</si>
  <si>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</si>
  <si>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</si>
  <si>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</si>
  <si>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</si>
  <si>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</si>
  <si>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</si>
  <si>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</si>
  <si>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</si>
  <si>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</si>
  <si>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</si>
  <si>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</si>
  <si>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</si>
  <si>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</si>
  <si>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</si>
  <si>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</si>
  <si>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</si>
  <si>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</si>
  <si>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</si>
  <si>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</si>
  <si>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</si>
  <si>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</si>
  <si>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</si>
  <si>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</si>
  <si>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</si>
  <si>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</si>
  <si>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</si>
  <si>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</si>
  <si>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</si>
  <si>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</si>
  <si>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</si>
  <si>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</si>
  <si>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</si>
  <si>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</si>
  <si>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</si>
  <si>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</si>
  <si>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</si>
  <si>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</si>
  <si>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</si>
  <si>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</si>
  <si>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</si>
  <si>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</si>
  <si>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</si>
  <si>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</si>
  <si>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</si>
  <si>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</si>
  <si>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</si>
  <si>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</si>
  <si>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</si>
  <si>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</si>
  <si>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</si>
  <si>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</si>
  <si>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</si>
  <si>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</si>
  <si>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</si>
  <si>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</si>
  <si>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</si>
  <si>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</si>
  <si>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</si>
  <si>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</si>
  <si>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</si>
  <si>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</si>
  <si>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</si>
  <si>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</si>
  <si>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</si>
  <si>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</si>
  <si>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</si>
  <si>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</si>
  <si>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</si>
  <si>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</si>
  <si>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</si>
  <si>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</si>
  <si>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</si>
  <si>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</si>
  <si>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</si>
  <si>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</si>
  <si>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</si>
  <si>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</si>
  <si>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</si>
  <si>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</si>
  <si>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</si>
  <si>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</si>
  <si>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</si>
  <si>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</si>
  <si>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</si>
  <si>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</si>
  <si>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</si>
  <si>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</si>
  <si>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</si>
  <si>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</si>
  <si>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</si>
  <si>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</si>
  <si>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</si>
  <si>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</si>
  <si>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</si>
  <si>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</si>
  <si>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</si>
  <si>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</si>
  <si>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</si>
  <si>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</si>
  <si>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</si>
  <si>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</si>
  <si>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</si>
  <si>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</si>
  <si>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</si>
  <si>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</si>
  <si>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</si>
  <si>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</si>
  <si>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</si>
  <si>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</si>
  <si>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</si>
  <si>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</si>
  <si>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</si>
  <si>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</si>
  <si>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</si>
  <si>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</si>
  <si>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</si>
  <si>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</si>
  <si>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</si>
  <si>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</si>
  <si>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</si>
  <si>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</si>
  <si>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</si>
  <si>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</si>
  <si>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</si>
  <si>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</si>
  <si>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</si>
  <si>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</si>
  <si>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</si>
  <si>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</si>
  <si>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</si>
  <si>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</si>
  <si>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</si>
  <si>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</si>
  <si>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</si>
  <si>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</si>
  <si>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</si>
  <si>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</si>
  <si>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</si>
  <si>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</si>
  <si>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</si>
  <si>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</si>
  <si>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</si>
  <si>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</si>
  <si>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</si>
  <si>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</si>
  <si>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</si>
  <si>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</si>
  <si>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</si>
  <si>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</si>
  <si>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</si>
  <si>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</si>
  <si>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</si>
  <si>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</si>
  <si>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</si>
  <si>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</si>
  <si>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</si>
  <si>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</si>
  <si>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</si>
  <si>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</si>
  <si>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</si>
  <si>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</si>
  <si>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</si>
  <si>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</si>
  <si>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</si>
  <si>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</si>
  <si>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</si>
  <si>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</si>
  <si>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</si>
  <si>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</si>
  <si>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</si>
  <si>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</si>
  <si>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</si>
  <si>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</si>
  <si>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</si>
  <si>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</si>
  <si>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</si>
  <si>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</si>
  <si>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</si>
  <si>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</si>
  <si>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</si>
  <si>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</si>
  <si>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</si>
  <si>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</si>
  <si>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</si>
  <si>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</si>
  <si>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</si>
  <si>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</si>
  <si>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</si>
  <si>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</si>
  <si>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</si>
  <si>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</si>
  <si>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</si>
  <si>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</si>
  <si>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</si>
  <si>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</si>
  <si>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</si>
  <si>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</si>
  <si>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</si>
  <si>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</si>
  <si>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</si>
  <si>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</si>
  <si>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</si>
  <si>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</si>
  <si>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</si>
  <si>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</si>
  <si>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</si>
  <si>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</si>
  <si>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</si>
  <si>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</si>
  <si>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</si>
  <si>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</si>
  <si>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</si>
  <si>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</si>
  <si>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年平均负荷</t>
  </si>
  <si>
    <r>
      <rPr>
        <sz val="9"/>
        <color indexed="8"/>
        <rFont val="宋体"/>
        <charset val="134"/>
      </rPr>
      <t>月份</t>
    </r>
  </si>
  <si>
    <r>
      <rPr>
        <sz val="9"/>
        <color indexed="8"/>
        <rFont val="宋体"/>
        <charset val="134"/>
      </rPr>
      <t>尖电价/元</t>
    </r>
  </si>
  <si>
    <r>
      <rPr>
        <sz val="9"/>
        <color indexed="8"/>
        <rFont val="宋体"/>
        <charset val="134"/>
      </rPr>
      <t>峰电价/元</t>
    </r>
  </si>
  <si>
    <t>平电价/元</t>
  </si>
  <si>
    <r>
      <rPr>
        <sz val="9"/>
        <color indexed="8"/>
        <rFont val="宋体"/>
        <charset val="134"/>
      </rPr>
      <t>谷电价/元</t>
    </r>
  </si>
  <si>
    <t>设备容量/度</t>
  </si>
  <si>
    <r>
      <rPr>
        <sz val="9"/>
        <color indexed="8"/>
        <rFont val="宋体"/>
        <charset val="134"/>
      </rPr>
      <t>电差类型</t>
    </r>
  </si>
  <si>
    <t>放电深度</t>
  </si>
  <si>
    <t>单充/放效率</t>
  </si>
  <si>
    <t>计算天数</t>
  </si>
  <si>
    <r>
      <rPr>
        <sz val="9"/>
        <color indexed="8"/>
        <rFont val="宋体"/>
        <charset val="134"/>
      </rPr>
      <t>收益/万元</t>
    </r>
  </si>
  <si>
    <t>日均收益</t>
  </si>
  <si>
    <t>日均度电收益</t>
  </si>
  <si>
    <t>放电度电收益</t>
  </si>
  <si>
    <t>上午尖电价比例（如有）</t>
  </si>
  <si>
    <t>下午尖电价比例（如有）</t>
  </si>
  <si>
    <t>上午充电率</t>
  </si>
  <si>
    <t>上午放电率</t>
  </si>
  <si>
    <t>下午充电率</t>
  </si>
  <si>
    <t>下午放电率</t>
  </si>
  <si>
    <t>平谷+峰谷、尖谷</t>
  </si>
  <si>
    <t>峰谷</t>
  </si>
  <si>
    <t>平谷+峰谷</t>
  </si>
  <si>
    <r>
      <rPr>
        <sz val="9"/>
        <color indexed="8"/>
        <rFont val="宋体"/>
        <charset val="134"/>
      </rPr>
      <t>平均每天收益</t>
    </r>
  </si>
  <si>
    <r>
      <rPr>
        <sz val="9"/>
        <color indexed="8"/>
        <rFont val="宋体"/>
        <charset val="134"/>
      </rPr>
      <t>首年收益</t>
    </r>
  </si>
  <si>
    <t>电网放电量</t>
  </si>
  <si>
    <t>电网充电量</t>
  </si>
  <si>
    <t>平谷</t>
  </si>
  <si>
    <t>峰谷/尖</t>
  </si>
  <si>
    <r>
      <rPr>
        <sz val="9"/>
        <color indexed="8"/>
        <rFont val="宋体"/>
        <charset val="134"/>
      </rPr>
      <t>年份</t>
    </r>
  </si>
  <si>
    <r>
      <rPr>
        <sz val="9"/>
        <color indexed="8"/>
        <rFont val="宋体"/>
        <charset val="134"/>
      </rPr>
      <t>总收益/万元</t>
    </r>
  </si>
  <si>
    <r>
      <rPr>
        <sz val="9"/>
        <color indexed="8"/>
        <rFont val="宋体"/>
        <charset val="134"/>
      </rPr>
      <t>衰减率</t>
    </r>
  </si>
  <si>
    <r>
      <rPr>
        <sz val="9"/>
        <color indexed="8"/>
        <rFont val="宋体"/>
        <charset val="134"/>
      </rPr>
      <t>收益分成</t>
    </r>
  </si>
  <si>
    <r>
      <rPr>
        <sz val="9"/>
        <color indexed="8"/>
        <rFont val="宋体"/>
        <charset val="134"/>
      </rPr>
      <t>投资方收益/万元</t>
    </r>
  </si>
  <si>
    <r>
      <rPr>
        <sz val="9"/>
        <color indexed="8"/>
        <rFont val="宋体"/>
        <charset val="134"/>
      </rPr>
      <t>用户收益/万元</t>
    </r>
  </si>
  <si>
    <r>
      <rPr>
        <sz val="9"/>
        <color indexed="8"/>
        <rFont val="宋体"/>
        <charset val="134"/>
      </rPr>
      <t>第1年</t>
    </r>
  </si>
  <si>
    <r>
      <rPr>
        <sz val="9"/>
        <color indexed="8"/>
        <rFont val="宋体"/>
        <charset val="134"/>
      </rPr>
      <t>第2年</t>
    </r>
  </si>
  <si>
    <r>
      <rPr>
        <sz val="9"/>
        <color indexed="8"/>
        <rFont val="宋体"/>
        <charset val="134"/>
      </rPr>
      <t>第3年</t>
    </r>
  </si>
  <si>
    <r>
      <rPr>
        <sz val="9"/>
        <color indexed="8"/>
        <rFont val="宋体"/>
        <charset val="134"/>
      </rPr>
      <t>第4年</t>
    </r>
  </si>
  <si>
    <r>
      <rPr>
        <sz val="9"/>
        <color indexed="8"/>
        <rFont val="宋体"/>
        <charset val="134"/>
      </rPr>
      <t>第5年</t>
    </r>
  </si>
  <si>
    <r>
      <rPr>
        <sz val="9"/>
        <color indexed="8"/>
        <rFont val="宋体"/>
        <charset val="134"/>
      </rPr>
      <t>第6年</t>
    </r>
  </si>
  <si>
    <r>
      <rPr>
        <sz val="9"/>
        <color indexed="8"/>
        <rFont val="宋体"/>
        <charset val="134"/>
      </rPr>
      <t>第7年</t>
    </r>
  </si>
  <si>
    <r>
      <rPr>
        <sz val="9"/>
        <color indexed="8"/>
        <rFont val="宋体"/>
        <charset val="134"/>
      </rPr>
      <t>第8年</t>
    </r>
  </si>
  <si>
    <r>
      <rPr>
        <sz val="9"/>
        <color indexed="8"/>
        <rFont val="宋体"/>
        <charset val="134"/>
      </rPr>
      <t>第9年</t>
    </r>
  </si>
  <si>
    <r>
      <rPr>
        <sz val="9"/>
        <color indexed="8"/>
        <rFont val="宋体"/>
        <charset val="134"/>
      </rPr>
      <t>第10年</t>
    </r>
  </si>
  <si>
    <r>
      <rPr>
        <sz val="9"/>
        <color indexed="8"/>
        <rFont val="宋体"/>
        <charset val="134"/>
      </rPr>
      <t>第11年</t>
    </r>
  </si>
  <si>
    <r>
      <rPr>
        <sz val="9"/>
        <color indexed="8"/>
        <rFont val="宋体"/>
        <charset val="134"/>
      </rPr>
      <t>第12年</t>
    </r>
  </si>
  <si>
    <r>
      <rPr>
        <sz val="9"/>
        <color indexed="8"/>
        <rFont val="宋体"/>
        <charset val="134"/>
      </rPr>
      <t>第13年</t>
    </r>
  </si>
  <si>
    <r>
      <rPr>
        <sz val="9"/>
        <color indexed="8"/>
        <rFont val="宋体"/>
        <charset val="134"/>
      </rPr>
      <t>第14年</t>
    </r>
  </si>
  <si>
    <r>
      <rPr>
        <sz val="9"/>
        <color indexed="8"/>
        <rFont val="宋体"/>
        <charset val="134"/>
      </rPr>
      <t>第15年</t>
    </r>
  </si>
  <si>
    <r>
      <rPr>
        <sz val="9"/>
        <color indexed="8"/>
        <rFont val="宋体"/>
        <charset val="134"/>
      </rPr>
      <t>第16年</t>
    </r>
  </si>
  <si>
    <r>
      <rPr>
        <sz val="9"/>
        <color indexed="8"/>
        <rFont val="宋体"/>
        <charset val="134"/>
      </rPr>
      <t>第17年</t>
    </r>
  </si>
  <si>
    <r>
      <rPr>
        <sz val="9"/>
        <color indexed="8"/>
        <rFont val="宋体"/>
        <charset val="134"/>
      </rPr>
      <t>第18年</t>
    </r>
  </si>
  <si>
    <r>
      <rPr>
        <sz val="9"/>
        <color indexed="8"/>
        <rFont val="宋体"/>
        <charset val="134"/>
      </rPr>
      <t>第19年</t>
    </r>
  </si>
  <si>
    <r>
      <rPr>
        <sz val="9"/>
        <color indexed="8"/>
        <rFont val="宋体"/>
        <charset val="134"/>
      </rPr>
      <t>第20年</t>
    </r>
  </si>
  <si>
    <r>
      <rPr>
        <sz val="9"/>
        <color indexed="8"/>
        <rFont val="宋体"/>
        <charset val="134"/>
      </rPr>
      <t>总计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</si>
</sst>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.0000_ "/>
    <numFmt numFmtId="181" formatCode="0.0%"/>
    <numFmt numFmtId="182" formatCode="0.000_ "/>
    <numFmt numFmtId="183" formatCode="0.00_ "/>
    <numFmt numFmtId="184" formatCode="0.00_);[Red]\(0.00\)"/>
    <numFmt numFmtId="185" formatCode="h:mm;@"/>
    <numFmt numFmtId="186" formatCode="h:mm:ss;@"/>
    <numFmt numFmtId="187" formatCode="0.000_);[Red]\(0.000\)"/>
  </numFmts>
  <fonts count="29">
    <font>
      <sz val="11"/>
      <color theme="1"/>
      <name val="宋体"/>
      <charset val="134"/>
      <scheme val="minor"/>
    </font>
    <font>
      <sz val="9"/>
      <color rgb="FF000000"/>
      <name val="宋体"/>
      <charset val="134"/>
    </font>
    <font>
      <sz val="9"/>
      <color theme="1"/>
      <name val="宋体"/>
      <charset val="134"/>
      <scheme val="minor"/>
    </font>
    <font>
      <sz val="9"/>
      <color indexed="8"/>
      <name val="宋体"/>
      <charset val="134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6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7" borderId="13" applyNumberFormat="0" applyAlignment="0" applyProtection="0">
      <alignment vertical="center"/>
    </xf>
    <xf numFmtId="0" fontId="18" fillId="18" borderId="14" applyNumberFormat="0" applyAlignment="0" applyProtection="0">
      <alignment vertical="center"/>
    </xf>
    <xf numFmtId="0" fontId="19" fillId="18" borderId="13" applyNumberFormat="0" applyAlignment="0" applyProtection="0">
      <alignment vertical="center"/>
    </xf>
    <xf numFmtId="0" fontId="20" fillId="19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</cellStyleXfs>
  <cellXfs count="84">
    <xf numFmtId="0" fontId="0" fillId="0" borderId="0" xfId="0">
      <alignment vertical="center"/>
    </xf>
    <xf numFmtId="58" fontId="0" fillId="0" borderId="0" xfId="0" applyNumberFormat="1" applyFill="1" applyAlignment="1">
      <alignment vertical="center"/>
    </xf>
    <xf numFmtId="20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58" fontId="2" fillId="2" borderId="1" xfId="0" applyNumberFormat="1" applyFont="1" applyFill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/>
    </xf>
    <xf numFmtId="182" fontId="1" fillId="0" borderId="1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0" fontId="0" fillId="0" borderId="0" xfId="0" applyNumberFormat="1">
      <alignment vertical="center"/>
    </xf>
    <xf numFmtId="183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  <xf numFmtId="58" fontId="2" fillId="0" borderId="1" xfId="0" applyNumberFormat="1" applyFont="1" applyFill="1" applyBorder="1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/>
    </xf>
    <xf numFmtId="182" fontId="0" fillId="0" borderId="0" xfId="0" applyNumberFormat="1">
      <alignment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>
      <alignment vertical="center"/>
    </xf>
    <xf numFmtId="9" fontId="0" fillId="0" borderId="1" xfId="0" applyNumberFormat="1" applyBorder="1">
      <alignment vertical="center"/>
    </xf>
    <xf numFmtId="182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83" fontId="1" fillId="0" borderId="8" xfId="0" applyNumberFormat="1" applyFont="1" applyBorder="1" applyAlignment="1">
      <alignment horizontal="center" vertical="center"/>
    </xf>
    <xf numFmtId="10" fontId="1" fillId="0" borderId="8" xfId="0" applyNumberFormat="1" applyFont="1" applyBorder="1" applyAlignment="1">
      <alignment horizontal="center" vertical="center"/>
    </xf>
    <xf numFmtId="9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83" fontId="1" fillId="0" borderId="6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85" fontId="4" fillId="0" borderId="0" xfId="0" applyNumberFormat="1" applyFont="1" applyAlignment="1">
      <alignment horizontal="center" vertical="center"/>
    </xf>
    <xf numFmtId="186" fontId="4" fillId="0" borderId="0" xfId="0" applyNumberFormat="1" applyFont="1" applyFill="1" applyAlignment="1">
      <alignment horizontal="center" vertical="center"/>
    </xf>
    <xf numFmtId="186" fontId="4" fillId="0" borderId="0" xfId="0" applyNumberFormat="1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58" fontId="4" fillId="3" borderId="0" xfId="0" applyNumberFormat="1" applyFont="1" applyFill="1" applyAlignment="1">
      <alignment horizontal="center" vertical="center"/>
    </xf>
    <xf numFmtId="184" fontId="5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49" applyFill="1">
      <alignment vertical="center"/>
    </xf>
    <xf numFmtId="58" fontId="4" fillId="4" borderId="0" xfId="0" applyNumberFormat="1" applyFont="1" applyFill="1" applyAlignment="1">
      <alignment horizontal="center" vertical="center"/>
    </xf>
    <xf numFmtId="0" fontId="0" fillId="0" borderId="0" xfId="0" applyFill="1">
      <alignment vertical="center"/>
    </xf>
    <xf numFmtId="58" fontId="4" fillId="5" borderId="0" xfId="0" applyNumberFormat="1" applyFont="1" applyFill="1" applyAlignment="1">
      <alignment horizontal="center" vertical="center"/>
    </xf>
    <xf numFmtId="186" fontId="0" fillId="0" borderId="0" xfId="0" applyNumberFormat="1">
      <alignment vertical="center"/>
    </xf>
    <xf numFmtId="0" fontId="6" fillId="0" borderId="0" xfId="0" applyFont="1" applyAlignment="1">
      <alignment horizontal="left" vertical="center"/>
    </xf>
    <xf numFmtId="186" fontId="0" fillId="0" borderId="1" xfId="49" applyNumberFormat="1" applyBorder="1" applyAlignment="1">
      <alignment horizontal="center" vertical="center"/>
    </xf>
    <xf numFmtId="186" fontId="0" fillId="0" borderId="1" xfId="49" applyNumberFormat="1" applyFont="1" applyBorder="1" applyAlignment="1">
      <alignment horizontal="center" vertical="center"/>
    </xf>
    <xf numFmtId="0" fontId="6" fillId="6" borderId="0" xfId="49" applyFont="1" applyFill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86" fontId="6" fillId="0" borderId="0" xfId="0" applyNumberFormat="1" applyFont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6" fillId="11" borderId="0" xfId="49" applyFont="1" applyFill="1" applyAlignment="1">
      <alignment horizontal="left" vertical="center"/>
    </xf>
    <xf numFmtId="0" fontId="6" fillId="12" borderId="0" xfId="49" applyFont="1" applyFill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6" fillId="0" borderId="4" xfId="49" applyFont="1" applyBorder="1" applyAlignment="1">
      <alignment vertical="center"/>
    </xf>
    <xf numFmtId="0" fontId="6" fillId="2" borderId="0" xfId="49" applyFont="1" applyFill="1" applyAlignment="1">
      <alignment horizontal="center" vertical="center"/>
    </xf>
    <xf numFmtId="0" fontId="6" fillId="5" borderId="0" xfId="49" applyFont="1" applyFill="1" applyAlignment="1">
      <alignment horizontal="center" vertical="center"/>
    </xf>
    <xf numFmtId="0" fontId="6" fillId="13" borderId="0" xfId="49" applyFont="1" applyFill="1" applyAlignment="1">
      <alignment horizontal="center" vertical="center"/>
    </xf>
    <xf numFmtId="0" fontId="6" fillId="13" borderId="0" xfId="49" applyFont="1" applyFill="1" applyAlignment="1">
      <alignment vertical="center"/>
    </xf>
    <xf numFmtId="0" fontId="7" fillId="14" borderId="1" xfId="49" applyFont="1" applyFill="1" applyBorder="1" applyAlignment="1">
      <alignment horizontal="center" vertical="center"/>
    </xf>
    <xf numFmtId="0" fontId="6" fillId="14" borderId="1" xfId="49" applyFont="1" applyFill="1" applyBorder="1" applyAlignment="1">
      <alignment horizontal="center" vertical="center"/>
    </xf>
    <xf numFmtId="10" fontId="6" fillId="2" borderId="0" xfId="49" applyNumberFormat="1" applyFont="1" applyFill="1" applyAlignment="1">
      <alignment horizontal="center" vertical="center"/>
    </xf>
    <xf numFmtId="10" fontId="6" fillId="5" borderId="0" xfId="49" applyNumberFormat="1" applyFont="1" applyFill="1" applyAlignment="1">
      <alignment horizontal="center" vertical="center"/>
    </xf>
    <xf numFmtId="187" fontId="6" fillId="13" borderId="0" xfId="49" applyNumberFormat="1" applyFont="1" applyFill="1" applyAlignment="1">
      <alignment horizontal="center" vertical="center"/>
    </xf>
    <xf numFmtId="0" fontId="0" fillId="15" borderId="0" xfId="0" applyFill="1">
      <alignment vertical="center"/>
    </xf>
    <xf numFmtId="10" fontId="6" fillId="13" borderId="0" xfId="49" applyNumberFormat="1" applyFont="1" applyFill="1" applyAlignment="1">
      <alignment horizontal="center" vertical="center"/>
    </xf>
    <xf numFmtId="10" fontId="6" fillId="14" borderId="1" xfId="49" applyNumberFormat="1" applyFont="1" applyFill="1" applyBorder="1" applyAlignment="1">
      <alignment horizontal="center" vertical="center"/>
    </xf>
    <xf numFmtId="187" fontId="8" fillId="13" borderId="0" xfId="49" applyNumberFormat="1" applyFont="1" applyFill="1" applyAlignment="1">
      <alignment horizontal="center" vertical="center"/>
    </xf>
    <xf numFmtId="10" fontId="8" fillId="13" borderId="0" xfId="49" applyNumberFormat="1" applyFont="1" applyFill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3 3" xfId="51"/>
    <cellStyle name="常规 3 5" xfId="52"/>
    <cellStyle name="常规 5" xfId="53"/>
  </cellStyles>
  <tableStyles count="0" defaultTableStyle="TableStyleMedium2" defaultPivotStyle="PivotStyleLight16"/>
  <colors>
    <mruColors>
      <color rgb="00FF7C80"/>
      <color rgb="00B2BC4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cat>
            <c:numRef>
              <c:f>'负荷数据&amp;测算'!$B$1:$CS$1</c:f>
              <c:numCache>
                <c:formatCode>h:mm;@</c:formatCode>
                <c:ptCount val="96"/>
                <c:pt idx="0" c:formatCode="h:mm;@">
                  <c:v>0</c:v>
                </c:pt>
                <c:pt idx="1" c:formatCode="h:mm;@">
                  <c:v>0.0104166666666667</c:v>
                </c:pt>
                <c:pt idx="2" c:formatCode="h:mm;@">
                  <c:v>0.0208333333333333</c:v>
                </c:pt>
                <c:pt idx="3" c:formatCode="h:mm;@">
                  <c:v>0.03125</c:v>
                </c:pt>
                <c:pt idx="4" c:formatCode="h:mm;@">
                  <c:v>0.0416666666666667</c:v>
                </c:pt>
                <c:pt idx="5" c:formatCode="h:mm;@">
                  <c:v>0.0520833333333333</c:v>
                </c:pt>
                <c:pt idx="6" c:formatCode="h:mm;@">
                  <c:v>0.0625</c:v>
                </c:pt>
                <c:pt idx="7" c:formatCode="h:mm;@">
                  <c:v>0.0729166666666667</c:v>
                </c:pt>
                <c:pt idx="8" c:formatCode="h:mm;@">
                  <c:v>0.0833333333333333</c:v>
                </c:pt>
                <c:pt idx="9" c:formatCode="h:mm;@">
                  <c:v>0.09375</c:v>
                </c:pt>
                <c:pt idx="10" c:formatCode="h:mm;@">
                  <c:v>0.104166666666667</c:v>
                </c:pt>
                <c:pt idx="11" c:formatCode="h:mm;@">
                  <c:v>0.114583333333333</c:v>
                </c:pt>
                <c:pt idx="12" c:formatCode="h:mm;@">
                  <c:v>0.125</c:v>
                </c:pt>
                <c:pt idx="13" c:formatCode="h:mm;@">
                  <c:v>0.135416666666667</c:v>
                </c:pt>
                <c:pt idx="14" c:formatCode="h:mm;@">
                  <c:v>0.145833333333333</c:v>
                </c:pt>
                <c:pt idx="15" c:formatCode="h:mm;@">
                  <c:v>0.15625</c:v>
                </c:pt>
                <c:pt idx="16" c:formatCode="h:mm;@">
                  <c:v>0.166666666666667</c:v>
                </c:pt>
                <c:pt idx="17" c:formatCode="h:mm;@">
                  <c:v>0.177083333333333</c:v>
                </c:pt>
                <c:pt idx="18" c:formatCode="h:mm;@">
                  <c:v>0.1875</c:v>
                </c:pt>
                <c:pt idx="19" c:formatCode="h:mm;@">
                  <c:v>0.197916666666667</c:v>
                </c:pt>
                <c:pt idx="20" c:formatCode="h:mm;@">
                  <c:v>0.208333333333333</c:v>
                </c:pt>
                <c:pt idx="21" c:formatCode="h:mm;@">
                  <c:v>0.21875</c:v>
                </c:pt>
                <c:pt idx="22" c:formatCode="h:mm;@">
                  <c:v>0.229166666666667</c:v>
                </c:pt>
                <c:pt idx="23" c:formatCode="h:mm;@">
                  <c:v>0.239583333333333</c:v>
                </c:pt>
                <c:pt idx="24" c:formatCode="h:mm;@">
                  <c:v>0.25</c:v>
                </c:pt>
                <c:pt idx="25" c:formatCode="h:mm;@">
                  <c:v>0.260416666666667</c:v>
                </c:pt>
                <c:pt idx="26" c:formatCode="h:mm;@">
                  <c:v>0.270833333333333</c:v>
                </c:pt>
                <c:pt idx="27" c:formatCode="h:mm;@">
                  <c:v>0.28125</c:v>
                </c:pt>
                <c:pt idx="28" c:formatCode="h:mm;@">
                  <c:v>0.291666666666667</c:v>
                </c:pt>
                <c:pt idx="29" c:formatCode="h:mm;@">
                  <c:v>0.302083333333333</c:v>
                </c:pt>
                <c:pt idx="30" c:formatCode="h:mm;@">
                  <c:v>0.3125</c:v>
                </c:pt>
                <c:pt idx="31" c:formatCode="h:mm;@">
                  <c:v>0.322916666666667</c:v>
                </c:pt>
                <c:pt idx="32" c:formatCode="h:mm;@">
                  <c:v>0.333333333333333</c:v>
                </c:pt>
                <c:pt idx="33" c:formatCode="h:mm;@">
                  <c:v>0.34375</c:v>
                </c:pt>
                <c:pt idx="34" c:formatCode="h:mm;@">
                  <c:v>0.354166666666667</c:v>
                </c:pt>
                <c:pt idx="35" c:formatCode="h:mm;@">
                  <c:v>0.364583333333333</c:v>
                </c:pt>
                <c:pt idx="36" c:formatCode="h:mm;@">
                  <c:v>0.375</c:v>
                </c:pt>
                <c:pt idx="37" c:formatCode="h:mm;@">
                  <c:v>0.385416666666667</c:v>
                </c:pt>
                <c:pt idx="38" c:formatCode="h:mm;@">
                  <c:v>0.395833333333333</c:v>
                </c:pt>
                <c:pt idx="39" c:formatCode="h:mm;@">
                  <c:v>0.40625</c:v>
                </c:pt>
                <c:pt idx="40" c:formatCode="h:mm;@">
                  <c:v>0.416666666666667</c:v>
                </c:pt>
                <c:pt idx="41" c:formatCode="h:mm;@">
                  <c:v>0.427083333333334</c:v>
                </c:pt>
                <c:pt idx="42" c:formatCode="h:mm;@">
                  <c:v>0.4375</c:v>
                </c:pt>
                <c:pt idx="43" c:formatCode="h:mm;@">
                  <c:v>0.447916666666667</c:v>
                </c:pt>
                <c:pt idx="44" c:formatCode="h:mm;@">
                  <c:v>0.458333333333334</c:v>
                </c:pt>
                <c:pt idx="45" c:formatCode="h:mm;@">
                  <c:v>0.46875</c:v>
                </c:pt>
                <c:pt idx="46" c:formatCode="h:mm;@">
                  <c:v>0.479166666666667</c:v>
                </c:pt>
                <c:pt idx="47" c:formatCode="h:mm;@">
                  <c:v>0.489583333333334</c:v>
                </c:pt>
                <c:pt idx="48" c:formatCode="h:mm;@">
                  <c:v>0.5</c:v>
                </c:pt>
                <c:pt idx="49" c:formatCode="h:mm;@">
                  <c:v>0.510416666666667</c:v>
                </c:pt>
                <c:pt idx="50" c:formatCode="h:mm;@">
                  <c:v>0.520833333333334</c:v>
                </c:pt>
                <c:pt idx="51" c:formatCode="h:mm;@">
                  <c:v>0.53125</c:v>
                </c:pt>
                <c:pt idx="52" c:formatCode="h:mm;@">
                  <c:v>0.541666666666667</c:v>
                </c:pt>
                <c:pt idx="53" c:formatCode="h:mm;@">
                  <c:v>0.552083333333333</c:v>
                </c:pt>
                <c:pt idx="54" c:formatCode="h:mm;@">
                  <c:v>0.5625</c:v>
                </c:pt>
                <c:pt idx="55" c:formatCode="h:mm;@">
                  <c:v>0.572916666666667</c:v>
                </c:pt>
                <c:pt idx="56" c:formatCode="h:mm;@">
                  <c:v>0.583333333333333</c:v>
                </c:pt>
                <c:pt idx="57" c:formatCode="h:mm;@">
                  <c:v>0.59375</c:v>
                </c:pt>
                <c:pt idx="58" c:formatCode="h:mm;@">
                  <c:v>0.604166666666667</c:v>
                </c:pt>
                <c:pt idx="59" c:formatCode="h:mm;@">
                  <c:v>0.614583333333333</c:v>
                </c:pt>
                <c:pt idx="60" c:formatCode="h:mm;@">
                  <c:v>0.625</c:v>
                </c:pt>
                <c:pt idx="61" c:formatCode="h:mm;@">
                  <c:v>0.635416666666667</c:v>
                </c:pt>
                <c:pt idx="62" c:formatCode="h:mm;@">
                  <c:v>0.645833333333333</c:v>
                </c:pt>
                <c:pt idx="63" c:formatCode="h:mm;@">
                  <c:v>0.65625</c:v>
                </c:pt>
                <c:pt idx="64" c:formatCode="h:mm;@">
                  <c:v>0.666666666666666</c:v>
                </c:pt>
                <c:pt idx="65" c:formatCode="h:mm;@">
                  <c:v>0.677083333333333</c:v>
                </c:pt>
                <c:pt idx="66" c:formatCode="h:mm;@">
                  <c:v>0.6875</c:v>
                </c:pt>
                <c:pt idx="67" c:formatCode="h:mm;@">
                  <c:v>0.697916666666666</c:v>
                </c:pt>
                <c:pt idx="68" c:formatCode="h:mm;@">
                  <c:v>0.708333333333333</c:v>
                </c:pt>
                <c:pt idx="69" c:formatCode="h:mm;@">
                  <c:v>0.71875</c:v>
                </c:pt>
                <c:pt idx="70" c:formatCode="h:mm;@">
                  <c:v>0.729166666666666</c:v>
                </c:pt>
                <c:pt idx="71" c:formatCode="h:mm;@">
                  <c:v>0.739583333333333</c:v>
                </c:pt>
                <c:pt idx="72" c:formatCode="h:mm;@">
                  <c:v>0.749999999999999</c:v>
                </c:pt>
                <c:pt idx="73" c:formatCode="h:mm;@">
                  <c:v>0.760416666666666</c:v>
                </c:pt>
                <c:pt idx="74" c:formatCode="h:mm;@">
                  <c:v>0.770833333333333</c:v>
                </c:pt>
                <c:pt idx="75" c:formatCode="h:mm;@">
                  <c:v>0.781249999999999</c:v>
                </c:pt>
                <c:pt idx="76" c:formatCode="h:mm;@">
                  <c:v>0.791666666666666</c:v>
                </c:pt>
                <c:pt idx="77" c:formatCode="h:mm;@">
                  <c:v>0.802083333333333</c:v>
                </c:pt>
                <c:pt idx="78" c:formatCode="h:mm;@">
                  <c:v>0.812499999999999</c:v>
                </c:pt>
                <c:pt idx="79" c:formatCode="h:mm;@">
                  <c:v>0.822916666666666</c:v>
                </c:pt>
                <c:pt idx="80" c:formatCode="h:mm;@">
                  <c:v>0.833333333333332</c:v>
                </c:pt>
                <c:pt idx="81" c:formatCode="h:mm;@">
                  <c:v>0.843749999999999</c:v>
                </c:pt>
                <c:pt idx="82" c:formatCode="h:mm;@">
                  <c:v>0.854166666666666</c:v>
                </c:pt>
                <c:pt idx="83" c:formatCode="h:mm;@">
                  <c:v>0.864583333333332</c:v>
                </c:pt>
                <c:pt idx="84" c:formatCode="h:mm;@">
                  <c:v>0.874999999999999</c:v>
                </c:pt>
                <c:pt idx="85" c:formatCode="h:mm;@">
                  <c:v>0.885416666666666</c:v>
                </c:pt>
                <c:pt idx="86" c:formatCode="h:mm;@">
                  <c:v>0.895833333333332</c:v>
                </c:pt>
                <c:pt idx="87" c:formatCode="h:mm;@">
                  <c:v>0.906249999999999</c:v>
                </c:pt>
                <c:pt idx="88" c:formatCode="h:mm;@">
                  <c:v>0.916666666666666</c:v>
                </c:pt>
                <c:pt idx="89" c:formatCode="h:mm;@">
                  <c:v>0.927083333333332</c:v>
                </c:pt>
                <c:pt idx="90" c:formatCode="h:mm;@">
                  <c:v>0.937499999999999</c:v>
                </c:pt>
                <c:pt idx="91" c:formatCode="h:mm;@">
                  <c:v>0.947916666666665</c:v>
                </c:pt>
                <c:pt idx="92" c:formatCode="h:mm;@">
                  <c:v>0.958333333333332</c:v>
                </c:pt>
                <c:pt idx="93" c:formatCode="h:mm;@">
                  <c:v>0.968749999999999</c:v>
                </c:pt>
                <c:pt idx="94" c:formatCode="h:mm;@">
                  <c:v>0.979166666666665</c:v>
                </c:pt>
                <c:pt idx="95" c:formatCode="h:mm;@">
                  <c:v>0.989583333333332</c:v>
                </c:pt>
              </c:numCache>
            </c:numRef>
          </c:cat>
          <c:val>
            <c:numRef>
              <c:f>'负荷数据&amp;测算'!$B$367:$CS$367</c:f>
              <c:numCache>
                <c:formatCode>General</c:formatCode>
                <c:ptCount val="96"/>
                <c:pt idx="0">
                  <c:v>317.6</c:v>
                </c:pt>
                <c:pt idx="1">
                  <c:v>365.6</c:v>
                </c:pt>
                <c:pt idx="2">
                  <c:v>364.8</c:v>
                </c:pt>
                <c:pt idx="3">
                  <c:v>351.2</c:v>
                </c:pt>
                <c:pt idx="4">
                  <c:v>340.8</c:v>
                </c:pt>
                <c:pt idx="5">
                  <c:v>344.8</c:v>
                </c:pt>
                <c:pt idx="6">
                  <c:v>342.4</c:v>
                </c:pt>
                <c:pt idx="7">
                  <c:v>344</c:v>
                </c:pt>
                <c:pt idx="8">
                  <c:v>336</c:v>
                </c:pt>
                <c:pt idx="9">
                  <c:v>320.8</c:v>
                </c:pt>
                <c:pt idx="10">
                  <c:v>312</c:v>
                </c:pt>
                <c:pt idx="11">
                  <c:v>318.4</c:v>
                </c:pt>
                <c:pt idx="12">
                  <c:v>320.8</c:v>
                </c:pt>
                <c:pt idx="13">
                  <c:v>339.2</c:v>
                </c:pt>
                <c:pt idx="14">
                  <c:v>356.8</c:v>
                </c:pt>
                <c:pt idx="15">
                  <c:v>353.6</c:v>
                </c:pt>
                <c:pt idx="16">
                  <c:v>378.4</c:v>
                </c:pt>
                <c:pt idx="17">
                  <c:v>357.6</c:v>
                </c:pt>
                <c:pt idx="18">
                  <c:v>378.4</c:v>
                </c:pt>
                <c:pt idx="19">
                  <c:v>334.4</c:v>
                </c:pt>
                <c:pt idx="20">
                  <c:v>324</c:v>
                </c:pt>
                <c:pt idx="21">
                  <c:v>331.2</c:v>
                </c:pt>
                <c:pt idx="22">
                  <c:v>336.8</c:v>
                </c:pt>
                <c:pt idx="23">
                  <c:v>368</c:v>
                </c:pt>
                <c:pt idx="24">
                  <c:v>346.4</c:v>
                </c:pt>
                <c:pt idx="25">
                  <c:v>352</c:v>
                </c:pt>
                <c:pt idx="26">
                  <c:v>378.4</c:v>
                </c:pt>
                <c:pt idx="27">
                  <c:v>347.2</c:v>
                </c:pt>
                <c:pt idx="28">
                  <c:v>357.6</c:v>
                </c:pt>
                <c:pt idx="29">
                  <c:v>357.6</c:v>
                </c:pt>
                <c:pt idx="30">
                  <c:v>391.2</c:v>
                </c:pt>
                <c:pt idx="31">
                  <c:v>388</c:v>
                </c:pt>
                <c:pt idx="32">
                  <c:v>344.8</c:v>
                </c:pt>
                <c:pt idx="33">
                  <c:v>369.6</c:v>
                </c:pt>
                <c:pt idx="34">
                  <c:v>344.8</c:v>
                </c:pt>
                <c:pt idx="35">
                  <c:v>347.2</c:v>
                </c:pt>
                <c:pt idx="36">
                  <c:v>356</c:v>
                </c:pt>
                <c:pt idx="37">
                  <c:v>363.2</c:v>
                </c:pt>
                <c:pt idx="38">
                  <c:v>432.8</c:v>
                </c:pt>
                <c:pt idx="39">
                  <c:v>389.6</c:v>
                </c:pt>
                <c:pt idx="40">
                  <c:v>384.8</c:v>
                </c:pt>
                <c:pt idx="41">
                  <c:v>422.4</c:v>
                </c:pt>
                <c:pt idx="42">
                  <c:v>369.6</c:v>
                </c:pt>
                <c:pt idx="43">
                  <c:v>352.8</c:v>
                </c:pt>
                <c:pt idx="44">
                  <c:v>344</c:v>
                </c:pt>
                <c:pt idx="45">
                  <c:v>348</c:v>
                </c:pt>
                <c:pt idx="46">
                  <c:v>372.8</c:v>
                </c:pt>
                <c:pt idx="47">
                  <c:v>352</c:v>
                </c:pt>
                <c:pt idx="48">
                  <c:v>396.8</c:v>
                </c:pt>
                <c:pt idx="49">
                  <c:v>376</c:v>
                </c:pt>
                <c:pt idx="50">
                  <c:v>369.6</c:v>
                </c:pt>
                <c:pt idx="51">
                  <c:v>364</c:v>
                </c:pt>
                <c:pt idx="52">
                  <c:v>314.4</c:v>
                </c:pt>
                <c:pt idx="53">
                  <c:v>324.8</c:v>
                </c:pt>
                <c:pt idx="54">
                  <c:v>314.4</c:v>
                </c:pt>
                <c:pt idx="55">
                  <c:v>322.4</c:v>
                </c:pt>
                <c:pt idx="56">
                  <c:v>338.4</c:v>
                </c:pt>
                <c:pt idx="57">
                  <c:v>321.6</c:v>
                </c:pt>
                <c:pt idx="58">
                  <c:v>334.4</c:v>
                </c:pt>
                <c:pt idx="59">
                  <c:v>333.6</c:v>
                </c:pt>
                <c:pt idx="60">
                  <c:v>357.6</c:v>
                </c:pt>
                <c:pt idx="61">
                  <c:v>384.8</c:v>
                </c:pt>
                <c:pt idx="62">
                  <c:v>367.2</c:v>
                </c:pt>
                <c:pt idx="63">
                  <c:v>379.2</c:v>
                </c:pt>
                <c:pt idx="64">
                  <c:v>380</c:v>
                </c:pt>
                <c:pt idx="65">
                  <c:v>376.8</c:v>
                </c:pt>
                <c:pt idx="66">
                  <c:v>385.6</c:v>
                </c:pt>
                <c:pt idx="67">
                  <c:v>368</c:v>
                </c:pt>
                <c:pt idx="68">
                  <c:v>344</c:v>
                </c:pt>
                <c:pt idx="69">
                  <c:v>362.4</c:v>
                </c:pt>
                <c:pt idx="70">
                  <c:v>334.4</c:v>
                </c:pt>
                <c:pt idx="71">
                  <c:v>340.8</c:v>
                </c:pt>
                <c:pt idx="72">
                  <c:v>332.8</c:v>
                </c:pt>
                <c:pt idx="73">
                  <c:v>377.6</c:v>
                </c:pt>
                <c:pt idx="74">
                  <c:v>366.4</c:v>
                </c:pt>
                <c:pt idx="75">
                  <c:v>410.4</c:v>
                </c:pt>
                <c:pt idx="76">
                  <c:v>399.2</c:v>
                </c:pt>
                <c:pt idx="77">
                  <c:v>375.2</c:v>
                </c:pt>
                <c:pt idx="78">
                  <c:v>368</c:v>
                </c:pt>
                <c:pt idx="79">
                  <c:v>372</c:v>
                </c:pt>
                <c:pt idx="80">
                  <c:v>373.6</c:v>
                </c:pt>
                <c:pt idx="81">
                  <c:v>385.6</c:v>
                </c:pt>
                <c:pt idx="82">
                  <c:v>381.6</c:v>
                </c:pt>
                <c:pt idx="83">
                  <c:v>355.2</c:v>
                </c:pt>
                <c:pt idx="84">
                  <c:v>356</c:v>
                </c:pt>
                <c:pt idx="85">
                  <c:v>353.6</c:v>
                </c:pt>
                <c:pt idx="86">
                  <c:v>363.2</c:v>
                </c:pt>
                <c:pt idx="87">
                  <c:v>324</c:v>
                </c:pt>
                <c:pt idx="88">
                  <c:v>321.6</c:v>
                </c:pt>
                <c:pt idx="89">
                  <c:v>327.2</c:v>
                </c:pt>
                <c:pt idx="90">
                  <c:v>307.2</c:v>
                </c:pt>
                <c:pt idx="91">
                  <c:v>308</c:v>
                </c:pt>
                <c:pt idx="92">
                  <c:v>300.8</c:v>
                </c:pt>
                <c:pt idx="93">
                  <c:v>323.2</c:v>
                </c:pt>
                <c:pt idx="94">
                  <c:v>307.2</c:v>
                </c:pt>
                <c:pt idx="95">
                  <c:v>354.4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25276672"/>
        <c:axId val="225278592"/>
      </c:lineChart>
      <c:catAx>
        <c:axId val="22527667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时间</a:t>
                </a:r>
                <a:r>
                  <a:rPr lang="en-US" altLang="zh-CN"/>
                  <a:t>/h</a:t>
                </a:r>
                <a:endParaRPr lang="zh-CN" altLang="en-US"/>
              </a:p>
            </c:rich>
          </c:tx>
          <c:layout/>
          <c:overlay val="0"/>
        </c:title>
        <c:numFmt formatCode="h:mm;@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25278592"/>
        <c:crosses val="autoZero"/>
        <c:auto val="1"/>
        <c:lblAlgn val="ctr"/>
        <c:lblOffset val="100"/>
        <c:tickLblSkip val="4"/>
        <c:noMultiLvlLbl val="0"/>
      </c:catAx>
      <c:valAx>
        <c:axId val="22527859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年平均负荷</a:t>
                </a:r>
                <a:r>
                  <a:rPr lang="en-US" altLang="zh-CN"/>
                  <a:t>/KW</a:t>
                </a:r>
                <a:endParaRPr lang="zh-CN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2527667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78e2464-a4f7-4c6b-96f1-4f523105cea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876300</xdr:colOff>
      <xdr:row>32</xdr:row>
      <xdr:rowOff>123825</xdr:rowOff>
    </xdr:from>
    <xdr:to>
      <xdr:col>9</xdr:col>
      <xdr:colOff>209550</xdr:colOff>
      <xdr:row>50</xdr:row>
      <xdr:rowOff>66675</xdr:rowOff>
    </xdr:to>
    <xdr:graphicFrame>
      <xdr:nvGraphicFramePr>
        <xdr:cNvPr id="5" name="图表 4"/>
        <xdr:cNvGraphicFramePr/>
      </xdr:nvGraphicFramePr>
      <xdr:xfrm>
        <a:off x="876300" y="5813425"/>
        <a:ext cx="6237605" cy="3143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635</xdr:colOff>
      <xdr:row>52</xdr:row>
      <xdr:rowOff>63500</xdr:rowOff>
    </xdr:from>
    <xdr:to>
      <xdr:col>21</xdr:col>
      <xdr:colOff>63500</xdr:colOff>
      <xdr:row>69</xdr:row>
      <xdr:rowOff>100965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9309100"/>
          <a:ext cx="17967960" cy="30600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&#20809;&#20239;&#24037;&#31243;\01 &#39033;&#30446;\00 &#24453;&#21150;\&#23433;&#24509;20250813&#34444;&#22496;&#21270;&#24037;&#21378;5&#39033;&#30446;\1&#38634;&#26391;&#31185;&#25216;\&#20648;&#33021;&#36130;&#21153;&#27169;&#22411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财务指标汇总"/>
      <sheetName val="基础数据表"/>
      <sheetName val="投资资金筹措表"/>
      <sheetName val="发电量"/>
      <sheetName val="储能测算表"/>
      <sheetName val="销售收入"/>
      <sheetName val="固定资产"/>
      <sheetName val="利息表"/>
      <sheetName val="销售税金+附加税"/>
      <sheetName val="总成本费用"/>
      <sheetName val="损益表"/>
      <sheetName val="项目现金流量表"/>
      <sheetName val="资本金现金流量表"/>
      <sheetName val="三类地区划分"/>
      <sheetName val="燃煤机组标杆电价"/>
    </sheetNames>
    <sheetDataSet>
      <sheetData sheetId="0" refreshError="1"/>
      <sheetData sheetId="1" refreshError="1">
        <row r="22">
          <cell r="I22">
            <v>0.03</v>
          </cell>
        </row>
        <row r="23">
          <cell r="I23">
            <v>0.022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2:Y32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O17" sqref="O17"/>
    </sheetView>
  </sheetViews>
  <sheetFormatPr defaultColWidth="9" defaultRowHeight="14"/>
  <cols>
    <col min="1" max="1" width="18.4545454545455" customWidth="1"/>
    <col min="2" max="5" width="9.12727272727273" customWidth="1"/>
    <col min="6" max="7" width="11" customWidth="1"/>
    <col min="8" max="8" width="10.8818181818182" customWidth="1"/>
    <col min="9" max="9" width="11" customWidth="1"/>
    <col min="10" max="10" width="10" customWidth="1"/>
    <col min="11" max="12" width="11.2545454545455" customWidth="1"/>
    <col min="13" max="13" width="11.7545454545455" customWidth="1"/>
    <col min="14" max="15" width="9.5" customWidth="1"/>
    <col min="16" max="16" width="11.6272727272727" customWidth="1"/>
    <col min="17" max="17" width="12.5" customWidth="1"/>
    <col min="18" max="18" width="25.5545454545455" customWidth="1"/>
    <col min="19" max="19" width="25.5454545454545" customWidth="1"/>
    <col min="20" max="24" width="9.5" customWidth="1"/>
  </cols>
  <sheetData>
    <row r="2" s="55" customFormat="1"/>
    <row r="3" spans="1:25">
      <c r="A3" s="56" t="s">
        <v>0</v>
      </c>
      <c r="B3" s="57">
        <v>0</v>
      </c>
      <c r="C3" s="58">
        <v>0.0416666666666667</v>
      </c>
      <c r="D3" s="57">
        <v>0.0833333333333333</v>
      </c>
      <c r="E3" s="58">
        <v>0.125</v>
      </c>
      <c r="F3" s="57">
        <v>0.166666666666667</v>
      </c>
      <c r="G3" s="58">
        <v>0.208333333333333</v>
      </c>
      <c r="H3" s="57">
        <v>0.25</v>
      </c>
      <c r="I3" s="58">
        <v>0.291666666666667</v>
      </c>
      <c r="J3" s="57">
        <v>0.333333333333334</v>
      </c>
      <c r="K3" s="58">
        <v>0.375000000000001</v>
      </c>
      <c r="L3" s="57">
        <v>0.416666666666668</v>
      </c>
      <c r="M3" s="58">
        <v>0.458333333333335</v>
      </c>
      <c r="N3" s="57">
        <v>0.500000000000002</v>
      </c>
      <c r="O3" s="58">
        <v>0.541666666666669</v>
      </c>
      <c r="P3" s="57">
        <v>0.583333333333336</v>
      </c>
      <c r="Q3" s="58">
        <v>0.625000000000003</v>
      </c>
      <c r="R3" s="57">
        <v>0.66666666666667</v>
      </c>
      <c r="S3" s="58">
        <v>0.708333333333337</v>
      </c>
      <c r="T3" s="57">
        <v>0.750000000000004</v>
      </c>
      <c r="U3" s="57">
        <v>0.791666666666671</v>
      </c>
      <c r="V3" s="57">
        <v>0.833333333333337</v>
      </c>
      <c r="W3" s="57">
        <v>0.875000000000004</v>
      </c>
      <c r="X3" s="57">
        <v>0.916666666666671</v>
      </c>
      <c r="Y3" s="57">
        <v>0.958333333333337</v>
      </c>
    </row>
    <row r="4" spans="1:25">
      <c r="A4" s="59" t="s">
        <v>1</v>
      </c>
      <c r="B4" s="60" t="s">
        <v>2</v>
      </c>
      <c r="C4" s="60" t="s">
        <v>2</v>
      </c>
      <c r="D4" s="61" t="s">
        <v>3</v>
      </c>
      <c r="E4" s="61" t="s">
        <v>3</v>
      </c>
      <c r="F4" s="61" t="s">
        <v>3</v>
      </c>
      <c r="G4" s="61" t="s">
        <v>3</v>
      </c>
      <c r="H4" s="61" t="s">
        <v>3</v>
      </c>
      <c r="I4" s="61" t="s">
        <v>3</v>
      </c>
      <c r="J4" s="61" t="s">
        <v>3</v>
      </c>
      <c r="K4" s="60" t="s">
        <v>2</v>
      </c>
      <c r="L4" s="60" t="s">
        <v>2</v>
      </c>
      <c r="M4" s="61" t="s">
        <v>3</v>
      </c>
      <c r="N4" s="61" t="s">
        <v>3</v>
      </c>
      <c r="O4" s="60" t="s">
        <v>2</v>
      </c>
      <c r="P4" s="60" t="s">
        <v>2</v>
      </c>
      <c r="Q4" s="60" t="s">
        <v>2</v>
      </c>
      <c r="R4" s="62" t="s">
        <v>4</v>
      </c>
      <c r="S4" s="62" t="s">
        <v>4</v>
      </c>
      <c r="T4" s="62" t="s">
        <v>4</v>
      </c>
      <c r="U4" s="62" t="s">
        <v>4</v>
      </c>
      <c r="V4" s="62" t="s">
        <v>4</v>
      </c>
      <c r="W4" s="62" t="s">
        <v>4</v>
      </c>
      <c r="X4" s="62" t="s">
        <v>4</v>
      </c>
      <c r="Y4" s="62" t="s">
        <v>4</v>
      </c>
    </row>
    <row r="5" s="53" customFormat="1" spans="1:25">
      <c r="A5" s="63" t="s">
        <v>5</v>
      </c>
      <c r="B5" s="60" t="s">
        <v>6</v>
      </c>
      <c r="C5" s="60" t="s">
        <v>6</v>
      </c>
      <c r="D5" s="64" t="s">
        <v>7</v>
      </c>
      <c r="E5" s="64" t="s">
        <v>7</v>
      </c>
      <c r="F5" s="64" t="s">
        <v>7</v>
      </c>
      <c r="G5" s="64" t="s">
        <v>7</v>
      </c>
      <c r="H5" s="64" t="s">
        <v>7</v>
      </c>
      <c r="I5" s="64" t="s">
        <v>7</v>
      </c>
      <c r="J5" s="64" t="s">
        <v>7</v>
      </c>
      <c r="K5" s="65" t="s">
        <v>8</v>
      </c>
      <c r="L5" s="65" t="s">
        <v>8</v>
      </c>
      <c r="M5" s="64" t="s">
        <v>7</v>
      </c>
      <c r="N5" s="64" t="s">
        <v>7</v>
      </c>
      <c r="O5" s="60" t="s">
        <v>6</v>
      </c>
      <c r="P5" s="60" t="s">
        <v>6</v>
      </c>
      <c r="Q5" s="60" t="s">
        <v>6</v>
      </c>
      <c r="R5" s="65" t="s">
        <v>8</v>
      </c>
      <c r="S5" s="65" t="s">
        <v>8</v>
      </c>
      <c r="T5" s="65" t="s">
        <v>8</v>
      </c>
      <c r="U5" s="65" t="s">
        <v>8</v>
      </c>
      <c r="V5" s="65" t="s">
        <v>8</v>
      </c>
      <c r="W5" s="65" t="s">
        <v>8</v>
      </c>
      <c r="X5" s="65" t="s">
        <v>8</v>
      </c>
      <c r="Y5" s="65" t="s">
        <v>8</v>
      </c>
    </row>
    <row r="6" spans="1:25">
      <c r="A6" s="66" t="s">
        <v>9</v>
      </c>
      <c r="B6" s="61" t="s">
        <v>3</v>
      </c>
      <c r="C6" s="61" t="s">
        <v>3</v>
      </c>
      <c r="D6" s="61" t="s">
        <v>3</v>
      </c>
      <c r="E6" s="61" t="s">
        <v>3</v>
      </c>
      <c r="F6" s="61" t="s">
        <v>3</v>
      </c>
      <c r="G6" s="61" t="s">
        <v>3</v>
      </c>
      <c r="H6" s="60" t="s">
        <v>2</v>
      </c>
      <c r="I6" s="60" t="s">
        <v>2</v>
      </c>
      <c r="J6" s="60" t="s">
        <v>2</v>
      </c>
      <c r="K6" s="60" t="s">
        <v>2</v>
      </c>
      <c r="L6" s="60" t="s">
        <v>2</v>
      </c>
      <c r="M6" s="60" t="s">
        <v>2</v>
      </c>
      <c r="N6" s="61" t="s">
        <v>3</v>
      </c>
      <c r="O6" s="61" t="s">
        <v>3</v>
      </c>
      <c r="P6" s="60" t="s">
        <v>2</v>
      </c>
      <c r="Q6" s="62" t="s">
        <v>4</v>
      </c>
      <c r="R6" s="62" t="s">
        <v>4</v>
      </c>
      <c r="S6" s="62" t="s">
        <v>4</v>
      </c>
      <c r="T6" s="62" t="s">
        <v>4</v>
      </c>
      <c r="U6" s="62" t="s">
        <v>4</v>
      </c>
      <c r="V6" s="62" t="s">
        <v>4</v>
      </c>
      <c r="W6" s="62" t="s">
        <v>4</v>
      </c>
      <c r="X6" s="62" t="s">
        <v>4</v>
      </c>
      <c r="Y6" s="61" t="s">
        <v>3</v>
      </c>
    </row>
    <row r="7" s="53" customFormat="1" spans="1:25">
      <c r="A7" s="63" t="s">
        <v>5</v>
      </c>
      <c r="B7" s="64" t="s">
        <v>7</v>
      </c>
      <c r="C7" s="64" t="s">
        <v>7</v>
      </c>
      <c r="D7" s="64" t="s">
        <v>7</v>
      </c>
      <c r="E7" s="64" t="s">
        <v>7</v>
      </c>
      <c r="F7" s="64" t="s">
        <v>7</v>
      </c>
      <c r="G7" s="64" t="s">
        <v>7</v>
      </c>
      <c r="H7" s="65" t="s">
        <v>8</v>
      </c>
      <c r="I7" s="65" t="s">
        <v>8</v>
      </c>
      <c r="J7" s="65" t="s">
        <v>8</v>
      </c>
      <c r="K7" s="65" t="s">
        <v>8</v>
      </c>
      <c r="L7" s="65" t="s">
        <v>8</v>
      </c>
      <c r="M7" s="65" t="s">
        <v>8</v>
      </c>
      <c r="N7" s="64" t="s">
        <v>7</v>
      </c>
      <c r="O7" s="64" t="s">
        <v>7</v>
      </c>
      <c r="P7" s="60" t="s">
        <v>6</v>
      </c>
      <c r="Q7" s="65" t="s">
        <v>8</v>
      </c>
      <c r="R7" s="65" t="s">
        <v>8</v>
      </c>
      <c r="S7" s="65" t="s">
        <v>8</v>
      </c>
      <c r="T7" s="65" t="s">
        <v>8</v>
      </c>
      <c r="U7" s="65" t="s">
        <v>8</v>
      </c>
      <c r="V7" s="65" t="s">
        <v>8</v>
      </c>
      <c r="W7" s="65" t="s">
        <v>8</v>
      </c>
      <c r="X7" s="65" t="s">
        <v>8</v>
      </c>
      <c r="Y7" s="64" t="s">
        <v>7</v>
      </c>
    </row>
    <row r="8" s="53" customFormat="1" spans="1:25">
      <c r="A8" s="67" t="s">
        <v>10</v>
      </c>
      <c r="B8" s="61" t="s">
        <v>3</v>
      </c>
      <c r="C8" s="61" t="s">
        <v>3</v>
      </c>
      <c r="D8" s="61" t="s">
        <v>3</v>
      </c>
      <c r="E8" s="61" t="s">
        <v>3</v>
      </c>
      <c r="F8" s="61" t="s">
        <v>3</v>
      </c>
      <c r="G8" s="61" t="s">
        <v>3</v>
      </c>
      <c r="H8" s="62" t="s">
        <v>4</v>
      </c>
      <c r="I8" s="62" t="s">
        <v>4</v>
      </c>
      <c r="J8" s="60" t="s">
        <v>2</v>
      </c>
      <c r="K8" s="60" t="s">
        <v>2</v>
      </c>
      <c r="L8" s="60" t="s">
        <v>2</v>
      </c>
      <c r="M8" s="61" t="s">
        <v>3</v>
      </c>
      <c r="N8" s="61" t="s">
        <v>3</v>
      </c>
      <c r="O8" s="61" t="s">
        <v>3</v>
      </c>
      <c r="P8" s="60" t="s">
        <v>2</v>
      </c>
      <c r="Q8" s="60" t="s">
        <v>2</v>
      </c>
      <c r="R8" s="62" t="s">
        <v>4</v>
      </c>
      <c r="S8" s="62" t="s">
        <v>4</v>
      </c>
      <c r="T8" s="62" t="s">
        <v>4</v>
      </c>
      <c r="U8" s="62" t="s">
        <v>4</v>
      </c>
      <c r="V8" s="62" t="s">
        <v>4</v>
      </c>
      <c r="W8" s="62" t="s">
        <v>4</v>
      </c>
      <c r="X8" s="60" t="s">
        <v>2</v>
      </c>
      <c r="Y8" s="61" t="s">
        <v>3</v>
      </c>
    </row>
    <row r="9" s="53" customFormat="1" spans="1:25">
      <c r="A9" s="63" t="s">
        <v>5</v>
      </c>
      <c r="B9" s="64" t="s">
        <v>7</v>
      </c>
      <c r="C9" s="64" t="s">
        <v>7</v>
      </c>
      <c r="D9" s="64" t="s">
        <v>7</v>
      </c>
      <c r="E9" s="64" t="s">
        <v>7</v>
      </c>
      <c r="F9" s="64" t="s">
        <v>7</v>
      </c>
      <c r="G9" s="64" t="s">
        <v>7</v>
      </c>
      <c r="H9" s="65" t="s">
        <v>8</v>
      </c>
      <c r="I9" s="65" t="s">
        <v>8</v>
      </c>
      <c r="J9" s="60" t="s">
        <v>6</v>
      </c>
      <c r="K9" s="60" t="s">
        <v>6</v>
      </c>
      <c r="L9" s="60" t="s">
        <v>6</v>
      </c>
      <c r="M9" s="64" t="s">
        <v>7</v>
      </c>
      <c r="N9" s="64" t="s">
        <v>7</v>
      </c>
      <c r="O9" s="64" t="s">
        <v>7</v>
      </c>
      <c r="P9" s="60" t="s">
        <v>6</v>
      </c>
      <c r="Q9" s="60" t="s">
        <v>6</v>
      </c>
      <c r="R9" s="65" t="s">
        <v>8</v>
      </c>
      <c r="S9" s="65" t="s">
        <v>8</v>
      </c>
      <c r="T9" s="65" t="s">
        <v>8</v>
      </c>
      <c r="U9" s="65" t="s">
        <v>8</v>
      </c>
      <c r="V9" s="65" t="s">
        <v>8</v>
      </c>
      <c r="W9" s="65" t="s">
        <v>8</v>
      </c>
      <c r="X9" s="60" t="s">
        <v>6</v>
      </c>
      <c r="Y9" s="64" t="s">
        <v>7</v>
      </c>
    </row>
    <row r="10" s="53" customFormat="1" spans="1:25">
      <c r="A10" s="59" t="s">
        <v>11</v>
      </c>
      <c r="B10" s="60" t="s">
        <v>2</v>
      </c>
      <c r="C10" s="60" t="s">
        <v>2</v>
      </c>
      <c r="D10" s="61" t="s">
        <v>3</v>
      </c>
      <c r="E10" s="61" t="s">
        <v>3</v>
      </c>
      <c r="F10" s="61" t="s">
        <v>3</v>
      </c>
      <c r="G10" s="61" t="s">
        <v>3</v>
      </c>
      <c r="H10" s="61" t="s">
        <v>3</v>
      </c>
      <c r="I10" s="61" t="s">
        <v>3</v>
      </c>
      <c r="J10" s="61" t="s">
        <v>3</v>
      </c>
      <c r="K10" s="60" t="s">
        <v>2</v>
      </c>
      <c r="L10" s="60" t="s">
        <v>2</v>
      </c>
      <c r="M10" s="61" t="s">
        <v>3</v>
      </c>
      <c r="N10" s="61" t="s">
        <v>3</v>
      </c>
      <c r="O10" s="60" t="s">
        <v>2</v>
      </c>
      <c r="P10" s="60" t="s">
        <v>2</v>
      </c>
      <c r="Q10" s="60" t="s">
        <v>2</v>
      </c>
      <c r="R10" s="62" t="s">
        <v>4</v>
      </c>
      <c r="S10" s="62" t="s">
        <v>4</v>
      </c>
      <c r="T10" s="62" t="s">
        <v>4</v>
      </c>
      <c r="U10" s="62" t="s">
        <v>4</v>
      </c>
      <c r="V10" s="68" t="s">
        <v>12</v>
      </c>
      <c r="W10" s="68" t="s">
        <v>12</v>
      </c>
      <c r="X10" s="62" t="s">
        <v>4</v>
      </c>
      <c r="Y10" s="62" t="s">
        <v>4</v>
      </c>
    </row>
    <row r="11" s="53" customFormat="1" spans="1:25">
      <c r="A11" s="63" t="s">
        <v>5</v>
      </c>
      <c r="B11" s="60" t="s">
        <v>6</v>
      </c>
      <c r="C11" s="60" t="s">
        <v>6</v>
      </c>
      <c r="D11" s="64" t="s">
        <v>7</v>
      </c>
      <c r="E11" s="64" t="s">
        <v>7</v>
      </c>
      <c r="F11" s="64" t="s">
        <v>7</v>
      </c>
      <c r="G11" s="64" t="s">
        <v>7</v>
      </c>
      <c r="H11" s="64" t="s">
        <v>7</v>
      </c>
      <c r="I11" s="64" t="s">
        <v>7</v>
      </c>
      <c r="J11" s="64" t="s">
        <v>7</v>
      </c>
      <c r="K11" s="65" t="s">
        <v>8</v>
      </c>
      <c r="L11" s="65" t="s">
        <v>8</v>
      </c>
      <c r="M11" s="64" t="s">
        <v>7</v>
      </c>
      <c r="N11" s="64" t="s">
        <v>7</v>
      </c>
      <c r="O11" s="60" t="s">
        <v>6</v>
      </c>
      <c r="P11" s="60" t="s">
        <v>6</v>
      </c>
      <c r="Q11" s="60" t="s">
        <v>6</v>
      </c>
      <c r="R11" s="65" t="s">
        <v>8</v>
      </c>
      <c r="S11" s="65" t="s">
        <v>8</v>
      </c>
      <c r="T11" s="65" t="s">
        <v>8</v>
      </c>
      <c r="U11" s="65" t="s">
        <v>8</v>
      </c>
      <c r="V11" s="65" t="s">
        <v>8</v>
      </c>
      <c r="W11" s="65" t="s">
        <v>8</v>
      </c>
      <c r="X11" s="65" t="s">
        <v>8</v>
      </c>
      <c r="Y11" s="65" t="s">
        <v>8</v>
      </c>
    </row>
    <row r="12" s="53" customFormat="1" spans="1:25">
      <c r="A12" s="66" t="s">
        <v>13</v>
      </c>
      <c r="B12" s="61" t="s">
        <v>3</v>
      </c>
      <c r="C12" s="61" t="s">
        <v>3</v>
      </c>
      <c r="D12" s="61" t="s">
        <v>3</v>
      </c>
      <c r="E12" s="61" t="s">
        <v>3</v>
      </c>
      <c r="F12" s="61" t="s">
        <v>3</v>
      </c>
      <c r="G12" s="61" t="s">
        <v>3</v>
      </c>
      <c r="H12" s="60" t="s">
        <v>2</v>
      </c>
      <c r="I12" s="60" t="s">
        <v>2</v>
      </c>
      <c r="J12" s="60" t="s">
        <v>2</v>
      </c>
      <c r="K12" s="60" t="s">
        <v>2</v>
      </c>
      <c r="L12" s="60" t="s">
        <v>2</v>
      </c>
      <c r="M12" s="60" t="s">
        <v>2</v>
      </c>
      <c r="N12" s="61" t="s">
        <v>3</v>
      </c>
      <c r="O12" s="61" t="s">
        <v>3</v>
      </c>
      <c r="P12" s="60" t="s">
        <v>2</v>
      </c>
      <c r="Q12" s="62" t="s">
        <v>4</v>
      </c>
      <c r="R12" s="62" t="s">
        <v>4</v>
      </c>
      <c r="S12" s="62" t="s">
        <v>4</v>
      </c>
      <c r="T12" s="62" t="s">
        <v>4</v>
      </c>
      <c r="U12" s="68" t="s">
        <v>12</v>
      </c>
      <c r="V12" s="68" t="s">
        <v>12</v>
      </c>
      <c r="W12" s="62" t="s">
        <v>4</v>
      </c>
      <c r="X12" s="62" t="s">
        <v>4</v>
      </c>
      <c r="Y12" s="61" t="s">
        <v>3</v>
      </c>
    </row>
    <row r="13" s="53" customFormat="1" spans="1:25">
      <c r="A13" s="63" t="s">
        <v>5</v>
      </c>
      <c r="B13" s="64" t="s">
        <v>7</v>
      </c>
      <c r="C13" s="64" t="s">
        <v>7</v>
      </c>
      <c r="D13" s="64" t="s">
        <v>7</v>
      </c>
      <c r="E13" s="64" t="s">
        <v>7</v>
      </c>
      <c r="F13" s="64" t="s">
        <v>7</v>
      </c>
      <c r="G13" s="64" t="s">
        <v>7</v>
      </c>
      <c r="H13" s="65" t="s">
        <v>8</v>
      </c>
      <c r="I13" s="65" t="s">
        <v>8</v>
      </c>
      <c r="J13" s="65" t="s">
        <v>8</v>
      </c>
      <c r="K13" s="65" t="s">
        <v>8</v>
      </c>
      <c r="L13" s="65" t="s">
        <v>8</v>
      </c>
      <c r="M13" s="65" t="s">
        <v>8</v>
      </c>
      <c r="N13" s="64" t="s">
        <v>7</v>
      </c>
      <c r="O13" s="64" t="s">
        <v>7</v>
      </c>
      <c r="P13" s="60" t="s">
        <v>6</v>
      </c>
      <c r="Q13" s="65" t="s">
        <v>8</v>
      </c>
      <c r="R13" s="65" t="s">
        <v>8</v>
      </c>
      <c r="S13" s="65" t="s">
        <v>8</v>
      </c>
      <c r="T13" s="65" t="s">
        <v>8</v>
      </c>
      <c r="U13" s="65" t="s">
        <v>8</v>
      </c>
      <c r="V13" s="65" t="s">
        <v>8</v>
      </c>
      <c r="W13" s="65" t="s">
        <v>8</v>
      </c>
      <c r="X13" s="65" t="s">
        <v>8</v>
      </c>
      <c r="Y13" s="64" t="s">
        <v>7</v>
      </c>
    </row>
    <row r="18" spans="2:19">
      <c r="B18" s="69" t="s">
        <v>14</v>
      </c>
      <c r="F18" s="70" t="s">
        <v>15</v>
      </c>
      <c r="G18" s="70" t="s">
        <v>16</v>
      </c>
      <c r="H18" s="70" t="s">
        <v>17</v>
      </c>
      <c r="J18" s="71" t="s">
        <v>18</v>
      </c>
      <c r="K18" s="71" t="s">
        <v>19</v>
      </c>
      <c r="L18" s="71" t="s">
        <v>20</v>
      </c>
      <c r="N18" s="72" t="s">
        <v>21</v>
      </c>
      <c r="O18" s="72" t="s">
        <v>22</v>
      </c>
      <c r="Q18" s="73" t="s">
        <v>23</v>
      </c>
      <c r="R18" s="72" t="s">
        <v>24</v>
      </c>
      <c r="S18" s="72" t="s">
        <v>25</v>
      </c>
    </row>
    <row r="19" spans="2:19">
      <c r="B19" s="74" t="s">
        <v>26</v>
      </c>
      <c r="C19" s="75">
        <v>1315</v>
      </c>
      <c r="F19" s="70" t="s">
        <v>27</v>
      </c>
      <c r="G19" s="76">
        <f>SUM('负荷数据&amp;测算'!CU2:CU32)/31</f>
        <v>0.032258064516129</v>
      </c>
      <c r="H19" s="76">
        <f>SUM('负荷数据&amp;测算'!CY2:CY32)/31</f>
        <v>0.032258064516129</v>
      </c>
      <c r="J19" s="71" t="s">
        <v>27</v>
      </c>
      <c r="K19" s="77">
        <f>SUM('负荷数据&amp;测算'!CW2:CW32)/31</f>
        <v>0.032258064516129</v>
      </c>
      <c r="L19" s="77">
        <f>SUM('负荷数据&amp;测算'!DA2:DA32)/31</f>
        <v>0.032258064516129</v>
      </c>
      <c r="N19" s="72" t="s">
        <v>27</v>
      </c>
      <c r="O19" s="78">
        <f>SUM('负荷数据&amp;测算'!DB2:DB32)/31</f>
        <v>0.0645161290322581</v>
      </c>
      <c r="Q19" s="70" t="s">
        <v>27</v>
      </c>
      <c r="R19" s="79"/>
      <c r="S19" s="80">
        <f>AVERAGE('负荷数据&amp;测算'!DC2:DC32)</f>
        <v>0.032258064516129</v>
      </c>
    </row>
    <row r="20" spans="2:19">
      <c r="B20" s="74" t="s">
        <v>28</v>
      </c>
      <c r="C20" s="75">
        <v>500</v>
      </c>
      <c r="F20" s="70" t="s">
        <v>29</v>
      </c>
      <c r="G20" s="76">
        <f>SUM('负荷数据&amp;测算'!CU33:CU60)/28</f>
        <v>0</v>
      </c>
      <c r="H20" s="76">
        <f>SUM('负荷数据&amp;测算'!CY33:CY60)/28</f>
        <v>0</v>
      </c>
      <c r="J20" s="71" t="s">
        <v>29</v>
      </c>
      <c r="K20" s="77">
        <f>SUM('负荷数据&amp;测算'!CW33:CW60)/28</f>
        <v>0</v>
      </c>
      <c r="L20" s="77">
        <f>SUM('负荷数据&amp;测算'!DA33:DA60)/28</f>
        <v>0</v>
      </c>
      <c r="N20" s="72" t="s">
        <v>29</v>
      </c>
      <c r="O20" s="78">
        <f>SUM('负荷数据&amp;测算'!DB33:DB60)/28</f>
        <v>0</v>
      </c>
      <c r="Q20" s="80" t="s">
        <v>29</v>
      </c>
      <c r="R20" s="79"/>
      <c r="S20" s="80"/>
    </row>
    <row r="21" spans="2:19">
      <c r="B21" s="74" t="s">
        <v>30</v>
      </c>
      <c r="C21" s="81">
        <v>0.9</v>
      </c>
      <c r="F21" s="70" t="s">
        <v>31</v>
      </c>
      <c r="G21" s="76">
        <f>SUM('负荷数据&amp;测算'!CU61:CU91)/31</f>
        <v>0</v>
      </c>
      <c r="H21" s="76">
        <f>SUM('负荷数据&amp;测算'!CY61:CY91)/31</f>
        <v>0</v>
      </c>
      <c r="J21" s="71" t="s">
        <v>31</v>
      </c>
      <c r="K21" s="77">
        <f>SUM('负荷数据&amp;测算'!CW61:CW91)/31</f>
        <v>0</v>
      </c>
      <c r="L21" s="77">
        <f>SUM('负荷数据&amp;测算'!DA61:DA91)/31</f>
        <v>0</v>
      </c>
      <c r="N21" s="72" t="s">
        <v>31</v>
      </c>
      <c r="O21" s="82">
        <f>SUM('负荷数据&amp;测算'!DB61:DB91)/31</f>
        <v>0</v>
      </c>
      <c r="Q21" s="72" t="s">
        <v>31</v>
      </c>
      <c r="R21" s="79"/>
      <c r="S21" s="83"/>
    </row>
    <row r="22" spans="2:19">
      <c r="B22" s="74" t="s">
        <v>32</v>
      </c>
      <c r="C22" s="81">
        <v>0.922</v>
      </c>
      <c r="F22" s="70" t="s">
        <v>33</v>
      </c>
      <c r="G22" s="76">
        <f>SUM('负荷数据&amp;测算'!CU92:CU121)/30</f>
        <v>0</v>
      </c>
      <c r="H22" s="76">
        <f>SUM('负荷数据&amp;测算'!CY92:CY121)/30</f>
        <v>0</v>
      </c>
      <c r="J22" s="71" t="s">
        <v>33</v>
      </c>
      <c r="K22" s="77">
        <f>SUM('负荷数据&amp;测算'!CW92:CW121)/30</f>
        <v>0</v>
      </c>
      <c r="L22" s="77">
        <f>SUM('负荷数据&amp;测算'!DA92:DA121)/30</f>
        <v>0</v>
      </c>
      <c r="N22" s="72" t="s">
        <v>33</v>
      </c>
      <c r="O22" s="82">
        <f>SUM('负荷数据&amp;测算'!DB92:DB121)/30</f>
        <v>0</v>
      </c>
      <c r="Q22" s="72" t="s">
        <v>33</v>
      </c>
      <c r="R22" s="79"/>
      <c r="S22" s="80"/>
    </row>
    <row r="23" spans="2:19">
      <c r="B23" s="74" t="s">
        <v>34</v>
      </c>
      <c r="C23" s="75">
        <f>C19*0.2</f>
        <v>263</v>
      </c>
      <c r="F23" s="70" t="s">
        <v>35</v>
      </c>
      <c r="G23" s="76">
        <f>SUM('负荷数据&amp;测算'!CU122:CU152)/31</f>
        <v>0</v>
      </c>
      <c r="H23" s="76">
        <f>SUM('负荷数据&amp;测算'!CY122:CY152)/31</f>
        <v>0</v>
      </c>
      <c r="J23" s="71" t="s">
        <v>35</v>
      </c>
      <c r="K23" s="77">
        <f>SUM('负荷数据&amp;测算'!CW122:CW152)/31</f>
        <v>0</v>
      </c>
      <c r="L23" s="77">
        <f>SUM('负荷数据&amp;测算'!DA122:DA152)/31</f>
        <v>0</v>
      </c>
      <c r="N23" s="72" t="s">
        <v>35</v>
      </c>
      <c r="O23" s="82">
        <f>SUM('负荷数据&amp;测算'!DB122:DB152)/31</f>
        <v>0</v>
      </c>
      <c r="Q23" s="72" t="s">
        <v>35</v>
      </c>
      <c r="R23" s="79"/>
      <c r="S23" s="80"/>
    </row>
    <row r="24" spans="2:19">
      <c r="B24" s="74" t="s">
        <v>36</v>
      </c>
      <c r="C24" s="75">
        <v>100</v>
      </c>
      <c r="F24" s="70" t="s">
        <v>37</v>
      </c>
      <c r="G24" s="76">
        <f>SUM('负荷数据&amp;测算'!CU153:CU182)/30</f>
        <v>0</v>
      </c>
      <c r="H24" s="76">
        <f>SUM('负荷数据&amp;测算'!CY153:CY182)/30</f>
        <v>0</v>
      </c>
      <c r="J24" s="71" t="s">
        <v>37</v>
      </c>
      <c r="K24" s="77">
        <f>SUM('负荷数据&amp;测算'!CW153:CW182)/30</f>
        <v>0</v>
      </c>
      <c r="L24" s="77">
        <f>SUM('负荷数据&amp;测算'!DA153:DA182)/30</f>
        <v>0</v>
      </c>
      <c r="N24" s="72" t="s">
        <v>37</v>
      </c>
      <c r="O24" s="82">
        <f>SUM('负荷数据&amp;测算'!DB153:DB182)/30</f>
        <v>0</v>
      </c>
      <c r="Q24" s="72" t="s">
        <v>37</v>
      </c>
      <c r="R24" s="79"/>
      <c r="S24" s="80"/>
    </row>
    <row r="25" spans="2:19">
      <c r="F25" s="70" t="s">
        <v>38</v>
      </c>
      <c r="G25" s="76">
        <f>SUM('负荷数据&amp;测算'!CU183:CU213)/31</f>
        <v>0</v>
      </c>
      <c r="H25" s="76">
        <f>SUM('负荷数据&amp;测算'!CY183:CY213)/31</f>
        <v>0</v>
      </c>
      <c r="J25" s="71" t="s">
        <v>38</v>
      </c>
      <c r="K25" s="77">
        <f>SUM('负荷数据&amp;测算'!CW183:CW213)/31</f>
        <v>0</v>
      </c>
      <c r="L25" s="77">
        <f>SUM('负荷数据&amp;测算'!DA182:DA212)/31</f>
        <v>0</v>
      </c>
      <c r="N25" s="72" t="s">
        <v>38</v>
      </c>
      <c r="O25" s="82">
        <f>SUM('负荷数据&amp;测算'!DB183:DB213)/31</f>
        <v>0</v>
      </c>
      <c r="Q25" s="70" t="s">
        <v>38</v>
      </c>
      <c r="R25" s="79"/>
      <c r="S25" s="80">
        <f>AVERAGE('负荷数据&amp;测算'!DC183:DC213)</f>
        <v>0</v>
      </c>
    </row>
    <row r="26" spans="2:19">
      <c r="F26" s="70" t="s">
        <v>39</v>
      </c>
      <c r="G26" s="76">
        <f>SUM('负荷数据&amp;测算'!CU214:CU244)/31</f>
        <v>0</v>
      </c>
      <c r="H26" s="76">
        <f>SUM('负荷数据&amp;测算'!CY214:CY244)/31</f>
        <v>0</v>
      </c>
      <c r="J26" s="71" t="s">
        <v>39</v>
      </c>
      <c r="K26" s="77">
        <f>SUM('负荷数据&amp;测算'!CW214:CW244)/31</f>
        <v>0</v>
      </c>
      <c r="L26" s="77">
        <f>SUM('负荷数据&amp;测算'!DA214:DA244)/31</f>
        <v>0</v>
      </c>
      <c r="N26" s="72" t="s">
        <v>39</v>
      </c>
      <c r="O26" s="82">
        <f>SUM('负荷数据&amp;测算'!DB214:DB244)/31</f>
        <v>0</v>
      </c>
      <c r="Q26" s="70" t="s">
        <v>39</v>
      </c>
      <c r="R26" s="79"/>
      <c r="S26" s="80">
        <f>AVERAGE('负荷数据&amp;测算'!DC214:DC244)</f>
        <v>0</v>
      </c>
    </row>
    <row r="27" spans="2:19">
      <c r="F27" s="70" t="s">
        <v>40</v>
      </c>
      <c r="G27" s="76">
        <f>SUM('负荷数据&amp;测算'!CU245:CU274)/30</f>
        <v>0</v>
      </c>
      <c r="H27" s="76">
        <f>SUM('负荷数据&amp;测算'!CY245:CY274)/30</f>
        <v>0</v>
      </c>
      <c r="J27" s="71" t="s">
        <v>40</v>
      </c>
      <c r="K27" s="77">
        <f>SUM('负荷数据&amp;测算'!CW245:CW274)/30</f>
        <v>0</v>
      </c>
      <c r="L27" s="77">
        <f>SUM('负荷数据&amp;测算'!DA245:DA274)/30</f>
        <v>0</v>
      </c>
      <c r="N27" s="72" t="s">
        <v>40</v>
      </c>
      <c r="O27" s="78">
        <f>SUM('负荷数据&amp;测算'!DB245:DB274)/30</f>
        <v>0</v>
      </c>
      <c r="Q27" s="72" t="s">
        <v>40</v>
      </c>
      <c r="R27" s="79"/>
      <c r="S27" s="80"/>
    </row>
    <row r="28" spans="2:19">
      <c r="F28" s="70" t="s">
        <v>41</v>
      </c>
      <c r="G28" s="76">
        <f>SUM('负荷数据&amp;测算'!CU275:CU305)/31</f>
        <v>0</v>
      </c>
      <c r="H28" s="76">
        <f>SUM('负荷数据&amp;测算'!CY275:CY305)/31</f>
        <v>0</v>
      </c>
      <c r="J28" s="71" t="s">
        <v>41</v>
      </c>
      <c r="K28" s="77">
        <f>SUM('负荷数据&amp;测算'!CW275:CW305)/31</f>
        <v>0</v>
      </c>
      <c r="L28" s="77">
        <f>SUM('负荷数据&amp;测算'!DA275:DA305)/31</f>
        <v>0</v>
      </c>
      <c r="N28" s="72" t="s">
        <v>41</v>
      </c>
      <c r="O28" s="78">
        <f>SUM('负荷数据&amp;测算'!DB275:DB305)/31</f>
        <v>0</v>
      </c>
      <c r="Q28" s="72" t="s">
        <v>41</v>
      </c>
      <c r="R28" s="79"/>
      <c r="S28" s="80"/>
    </row>
    <row r="29" spans="2:19">
      <c r="F29" s="70" t="s">
        <v>42</v>
      </c>
      <c r="G29" s="76">
        <f>SUM('负荷数据&amp;测算'!CU306:CU335)/30</f>
        <v>0</v>
      </c>
      <c r="H29" s="76">
        <f>SUM('负荷数据&amp;测算'!CY306:CY335)/30</f>
        <v>0</v>
      </c>
      <c r="J29" s="71" t="s">
        <v>42</v>
      </c>
      <c r="K29" s="77">
        <f>SUM('负荷数据&amp;测算'!CW306:CW335)/30</f>
        <v>0</v>
      </c>
      <c r="L29" s="77">
        <f>SUM('负荷数据&amp;测算'!DA306:DA335)/30</f>
        <v>0</v>
      </c>
      <c r="N29" s="72" t="s">
        <v>42</v>
      </c>
      <c r="O29" s="78">
        <f>SUM('负荷数据&amp;测算'!DB306:DB335)/30</f>
        <v>0</v>
      </c>
      <c r="Q29" s="72" t="s">
        <v>42</v>
      </c>
      <c r="R29" s="79"/>
      <c r="S29" s="80"/>
    </row>
    <row r="30" spans="2:19">
      <c r="F30" s="70" t="s">
        <v>43</v>
      </c>
      <c r="G30" s="76">
        <f>SUM('负荷数据&amp;测算'!CU336:CU366)/31</f>
        <v>0</v>
      </c>
      <c r="H30" s="76">
        <f>SUM('负荷数据&amp;测算'!CY336:CY366)/31</f>
        <v>0</v>
      </c>
      <c r="J30" s="71" t="s">
        <v>43</v>
      </c>
      <c r="K30" s="77">
        <f>SUM('负荷数据&amp;测算'!CW336:CW366)/31</f>
        <v>0</v>
      </c>
      <c r="L30" s="77">
        <f>SUM('负荷数据&amp;测算'!DA336:DA366)/31</f>
        <v>0</v>
      </c>
      <c r="N30" s="72" t="s">
        <v>43</v>
      </c>
      <c r="O30" s="78">
        <f>SUM('负荷数据&amp;测算'!DB336:DB366)/31</f>
        <v>0</v>
      </c>
      <c r="Q30" s="70" t="s">
        <v>43</v>
      </c>
      <c r="R30" s="79"/>
      <c r="S30" s="80">
        <f>AVERAGE('负荷数据&amp;测算'!DC336:DC366)</f>
        <v>0</v>
      </c>
    </row>
    <row r="31" spans="2:19">
      <c r="N31" s="72" t="s">
        <v>44</v>
      </c>
      <c r="O31" s="82">
        <f>IFERROR(AVERAGE(O19:O30),"数据不全")</f>
        <v>0.0053763440860215</v>
      </c>
      <c r="Q31" s="72" t="s">
        <v>44</v>
      </c>
      <c r="R31" s="83"/>
      <c r="S31" s="83"/>
    </row>
    <row r="32" spans="2:19">
      <c r="N32" s="72" t="s">
        <v>45</v>
      </c>
      <c r="O32" s="82">
        <f>O31/2*365</f>
        <v>0.981182795698925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I373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B2" sqref="B2:CS2"/>
    </sheetView>
  </sheetViews>
  <sheetFormatPr defaultColWidth="9" defaultRowHeight="15" customHeight="1"/>
  <cols>
    <col min="1" max="1" width="17.7545454545455" style="41"/>
    <col min="2" max="2" width="10.3818181818182" style="43" customWidth="1"/>
    <col min="3" max="3" width="11" style="43" customWidth="1"/>
    <col min="4" max="41" width="9" style="43"/>
    <col min="42" max="97" width="9.62727272727273" style="43"/>
    <col min="98" max="98" width="15.9090909090909" style="42" customWidth="1"/>
    <col min="99" max="99" width="14.5454545454545" style="43" customWidth="1"/>
    <col min="100" max="100" width="16.7272727272727" style="43" customWidth="1"/>
    <col min="101" max="101" width="13.4545454545455" style="43" customWidth="1"/>
    <col min="102" max="102" width="15.9090909090909" style="42" customWidth="1"/>
    <col min="103" max="103" width="13.4545454545455" style="43" customWidth="1"/>
    <col min="104" max="104" width="15.9090909090909" style="43" customWidth="1"/>
    <col min="105" max="105" width="13.4545454545455" style="43" customWidth="1"/>
    <col min="106" max="106" width="11.7272727272727" style="43" customWidth="1"/>
    <col min="107" max="107" width="22" style="43" customWidth="1"/>
    <col min="108" max="108" width="22.4818181818182" customWidth="1"/>
    <col min="109" max="109" width="23.7909090909091" style="43" customWidth="1"/>
    <col min="110" max="112" width="12" style="43" customWidth="1"/>
    <col min="113" max="113" width="21.3818181818182" style="43" customWidth="1"/>
    <col min="114" max="16384" width="9" style="43"/>
  </cols>
  <sheetData>
    <row r="1" s="41" customFormat="1" customHeight="1" spans="1:109">
      <c r="A1" s="41" t="s">
        <v>46</v>
      </c>
      <c r="B1" s="44">
        <v>0</v>
      </c>
      <c r="C1" s="44">
        <f t="shared" ref="C1:N1" si="0">B1+15/60/24</f>
        <v>0.0104166666666667</v>
      </c>
      <c r="D1" s="44">
        <f t="shared" si="0"/>
        <v>0.0208333333333333</v>
      </c>
      <c r="E1" s="44">
        <f t="shared" si="0"/>
        <v>0.03125</v>
      </c>
      <c r="F1" s="44">
        <f t="shared" si="0"/>
        <v>0.0416666666666667</v>
      </c>
      <c r="G1" s="44">
        <f t="shared" si="0"/>
        <v>0.0520833333333333</v>
      </c>
      <c r="H1" s="44">
        <f t="shared" si="0"/>
        <v>0.0625</v>
      </c>
      <c r="I1" s="44">
        <f t="shared" si="0"/>
        <v>0.0729166666666667</v>
      </c>
      <c r="J1" s="44">
        <f t="shared" si="0"/>
        <v>0.0833333333333333</v>
      </c>
      <c r="K1" s="44">
        <f t="shared" si="0"/>
        <v>0.09375</v>
      </c>
      <c r="L1" s="44">
        <f t="shared" si="0"/>
        <v>0.104166666666667</v>
      </c>
      <c r="M1" s="44">
        <f t="shared" si="0"/>
        <v>0.114583333333333</v>
      </c>
      <c r="N1" s="44">
        <f t="shared" si="0"/>
        <v>0.125</v>
      </c>
      <c r="O1" s="44">
        <f t="shared" ref="O1:AP1" si="1">N1+15/60/24</f>
        <v>0.135416666666667</v>
      </c>
      <c r="P1" s="44">
        <f t="shared" si="1"/>
        <v>0.145833333333333</v>
      </c>
      <c r="Q1" s="44">
        <f t="shared" si="1"/>
        <v>0.15625</v>
      </c>
      <c r="R1" s="44">
        <f t="shared" si="1"/>
        <v>0.166666666666667</v>
      </c>
      <c r="S1" s="44">
        <f t="shared" si="1"/>
        <v>0.177083333333333</v>
      </c>
      <c r="T1" s="44">
        <f t="shared" si="1"/>
        <v>0.1875</v>
      </c>
      <c r="U1" s="44">
        <f t="shared" si="1"/>
        <v>0.197916666666667</v>
      </c>
      <c r="V1" s="44">
        <f t="shared" si="1"/>
        <v>0.208333333333333</v>
      </c>
      <c r="W1" s="44">
        <f t="shared" si="1"/>
        <v>0.21875</v>
      </c>
      <c r="X1" s="44">
        <f t="shared" si="1"/>
        <v>0.229166666666667</v>
      </c>
      <c r="Y1" s="44">
        <f t="shared" si="1"/>
        <v>0.239583333333333</v>
      </c>
      <c r="Z1" s="44">
        <f t="shared" si="1"/>
        <v>0.25</v>
      </c>
      <c r="AA1" s="44">
        <f t="shared" si="1"/>
        <v>0.260416666666667</v>
      </c>
      <c r="AB1" s="44">
        <f t="shared" si="1"/>
        <v>0.270833333333333</v>
      </c>
      <c r="AC1" s="44">
        <f t="shared" si="1"/>
        <v>0.28125</v>
      </c>
      <c r="AD1" s="44">
        <f t="shared" si="1"/>
        <v>0.291666666666667</v>
      </c>
      <c r="AE1" s="44">
        <f t="shared" si="1"/>
        <v>0.302083333333333</v>
      </c>
      <c r="AF1" s="44">
        <f t="shared" si="1"/>
        <v>0.3125</v>
      </c>
      <c r="AG1" s="44">
        <f t="shared" si="1"/>
        <v>0.322916666666667</v>
      </c>
      <c r="AH1" s="44">
        <f t="shared" si="1"/>
        <v>0.333333333333333</v>
      </c>
      <c r="AI1" s="44">
        <f t="shared" si="1"/>
        <v>0.34375</v>
      </c>
      <c r="AJ1" s="44">
        <f t="shared" si="1"/>
        <v>0.354166666666667</v>
      </c>
      <c r="AK1" s="44">
        <f t="shared" si="1"/>
        <v>0.364583333333333</v>
      </c>
      <c r="AL1" s="44">
        <f t="shared" si="1"/>
        <v>0.375</v>
      </c>
      <c r="AM1" s="44">
        <f t="shared" si="1"/>
        <v>0.385416666666667</v>
      </c>
      <c r="AN1" s="44">
        <f t="shared" si="1"/>
        <v>0.395833333333333</v>
      </c>
      <c r="AO1" s="44">
        <f t="shared" si="1"/>
        <v>0.40625</v>
      </c>
      <c r="AP1" s="44">
        <f t="shared" si="1"/>
        <v>0.416666666666667</v>
      </c>
      <c r="AQ1" s="44">
        <f t="shared" ref="AQ1:BY1" si="2">AP1+15/60/24</f>
        <v>0.427083333333334</v>
      </c>
      <c r="AR1" s="44">
        <f t="shared" si="2"/>
        <v>0.4375</v>
      </c>
      <c r="AS1" s="44">
        <f t="shared" si="2"/>
        <v>0.447916666666667</v>
      </c>
      <c r="AT1" s="44">
        <f t="shared" si="2"/>
        <v>0.458333333333334</v>
      </c>
      <c r="AU1" s="44">
        <f t="shared" si="2"/>
        <v>0.46875</v>
      </c>
      <c r="AV1" s="44">
        <f t="shared" si="2"/>
        <v>0.479166666666667</v>
      </c>
      <c r="AW1" s="44">
        <f t="shared" si="2"/>
        <v>0.489583333333334</v>
      </c>
      <c r="AX1" s="44">
        <f t="shared" si="2"/>
        <v>0.5</v>
      </c>
      <c r="AY1" s="44">
        <f t="shared" si="2"/>
        <v>0.510416666666667</v>
      </c>
      <c r="AZ1" s="44">
        <f t="shared" si="2"/>
        <v>0.520833333333334</v>
      </c>
      <c r="BA1" s="44">
        <f t="shared" si="2"/>
        <v>0.53125</v>
      </c>
      <c r="BB1" s="44">
        <f t="shared" si="2"/>
        <v>0.541666666666667</v>
      </c>
      <c r="BC1" s="44">
        <f t="shared" si="2"/>
        <v>0.552083333333333</v>
      </c>
      <c r="BD1" s="44">
        <f t="shared" si="2"/>
        <v>0.5625</v>
      </c>
      <c r="BE1" s="44">
        <f t="shared" si="2"/>
        <v>0.572916666666667</v>
      </c>
      <c r="BF1" s="44">
        <f t="shared" si="2"/>
        <v>0.583333333333333</v>
      </c>
      <c r="BG1" s="44">
        <f t="shared" si="2"/>
        <v>0.59375</v>
      </c>
      <c r="BH1" s="44">
        <f t="shared" si="2"/>
        <v>0.604166666666667</v>
      </c>
      <c r="BI1" s="44">
        <f t="shared" si="2"/>
        <v>0.614583333333333</v>
      </c>
      <c r="BJ1" s="44">
        <f t="shared" si="2"/>
        <v>0.625</v>
      </c>
      <c r="BK1" s="44">
        <f t="shared" si="2"/>
        <v>0.635416666666667</v>
      </c>
      <c r="BL1" s="44">
        <f t="shared" si="2"/>
        <v>0.645833333333333</v>
      </c>
      <c r="BM1" s="44">
        <f t="shared" si="2"/>
        <v>0.65625</v>
      </c>
      <c r="BN1" s="44">
        <f t="shared" si="2"/>
        <v>0.666666666666666</v>
      </c>
      <c r="BO1" s="44">
        <f t="shared" si="2"/>
        <v>0.677083333333333</v>
      </c>
      <c r="BP1" s="44">
        <f t="shared" si="2"/>
        <v>0.6875</v>
      </c>
      <c r="BQ1" s="44">
        <f t="shared" si="2"/>
        <v>0.697916666666666</v>
      </c>
      <c r="BR1" s="44">
        <f t="shared" si="2"/>
        <v>0.708333333333333</v>
      </c>
      <c r="BS1" s="44">
        <f t="shared" si="2"/>
        <v>0.71875</v>
      </c>
      <c r="BT1" s="44">
        <f t="shared" si="2"/>
        <v>0.729166666666666</v>
      </c>
      <c r="BU1" s="44">
        <f t="shared" si="2"/>
        <v>0.739583333333333</v>
      </c>
      <c r="BV1" s="44">
        <f t="shared" si="2"/>
        <v>0.749999999999999</v>
      </c>
      <c r="BW1" s="44">
        <f t="shared" si="2"/>
        <v>0.760416666666666</v>
      </c>
      <c r="BX1" s="44">
        <f t="shared" si="2"/>
        <v>0.770833333333333</v>
      </c>
      <c r="BY1" s="44">
        <f t="shared" si="2"/>
        <v>0.781249999999999</v>
      </c>
      <c r="BZ1" s="44">
        <f t="shared" ref="BZ1:CS1" si="3">BY1+15/60/24</f>
        <v>0.791666666666666</v>
      </c>
      <c r="CA1" s="44">
        <f t="shared" si="3"/>
        <v>0.802083333333333</v>
      </c>
      <c r="CB1" s="44">
        <f t="shared" si="3"/>
        <v>0.812499999999999</v>
      </c>
      <c r="CC1" s="44">
        <f t="shared" si="3"/>
        <v>0.822916666666666</v>
      </c>
      <c r="CD1" s="44">
        <f t="shared" si="3"/>
        <v>0.833333333333332</v>
      </c>
      <c r="CE1" s="44">
        <f t="shared" si="3"/>
        <v>0.843749999999999</v>
      </c>
      <c r="CF1" s="44">
        <f t="shared" si="3"/>
        <v>0.854166666666666</v>
      </c>
      <c r="CG1" s="44">
        <f t="shared" si="3"/>
        <v>0.864583333333332</v>
      </c>
      <c r="CH1" s="44">
        <f t="shared" si="3"/>
        <v>0.874999999999999</v>
      </c>
      <c r="CI1" s="44">
        <f t="shared" si="3"/>
        <v>0.885416666666666</v>
      </c>
      <c r="CJ1" s="44">
        <f t="shared" si="3"/>
        <v>0.895833333333332</v>
      </c>
      <c r="CK1" s="44">
        <f t="shared" si="3"/>
        <v>0.906249999999999</v>
      </c>
      <c r="CL1" s="44">
        <f t="shared" si="3"/>
        <v>0.916666666666666</v>
      </c>
      <c r="CM1" s="44">
        <f t="shared" si="3"/>
        <v>0.927083333333332</v>
      </c>
      <c r="CN1" s="44">
        <f t="shared" si="3"/>
        <v>0.937499999999999</v>
      </c>
      <c r="CO1" s="44">
        <f t="shared" si="3"/>
        <v>0.947916666666665</v>
      </c>
      <c r="CP1" s="44">
        <f t="shared" si="3"/>
        <v>0.958333333333332</v>
      </c>
      <c r="CQ1" s="44">
        <f t="shared" si="3"/>
        <v>0.968749999999999</v>
      </c>
      <c r="CR1" s="44">
        <f t="shared" si="3"/>
        <v>0.979166666666665</v>
      </c>
      <c r="CS1" s="44">
        <f t="shared" si="3"/>
        <v>0.989583333333332</v>
      </c>
      <c r="CT1" s="45" t="s">
        <v>47</v>
      </c>
      <c r="CU1" s="46" t="s">
        <v>48</v>
      </c>
      <c r="CV1" s="46" t="s">
        <v>49</v>
      </c>
      <c r="CW1" s="41" t="s">
        <v>50</v>
      </c>
      <c r="CX1" s="47" t="s">
        <v>51</v>
      </c>
      <c r="CY1" s="41" t="s">
        <v>52</v>
      </c>
      <c r="CZ1" s="41" t="s">
        <v>53</v>
      </c>
      <c r="DA1" s="41" t="s">
        <v>54</v>
      </c>
      <c r="DB1" s="41" t="s">
        <v>55</v>
      </c>
      <c r="DC1" s="47" t="s">
        <v>24</v>
      </c>
      <c r="DD1" s="47"/>
      <c r="DE1" s="47"/>
    </row>
    <row r="2" customHeight="1" spans="1:109">
      <c r="A2" s="48" t="s">
        <v>56</v>
      </c>
      <c r="B2" s="3">
        <v>317.6</v>
      </c>
      <c r="C2" s="3">
        <v>365.6</v>
      </c>
      <c r="D2" s="3">
        <v>364.8</v>
      </c>
      <c r="E2" s="3">
        <v>351.2</v>
      </c>
      <c r="F2" s="3">
        <v>340.8</v>
      </c>
      <c r="G2" s="3">
        <v>344.8</v>
      </c>
      <c r="H2" s="3">
        <v>342.4</v>
      </c>
      <c r="I2" s="3">
        <v>344</v>
      </c>
      <c r="J2" s="3">
        <v>336</v>
      </c>
      <c r="K2" s="3">
        <v>320.8</v>
      </c>
      <c r="L2" s="3">
        <v>312</v>
      </c>
      <c r="M2" s="3">
        <v>318.4</v>
      </c>
      <c r="N2" s="3">
        <v>320.8</v>
      </c>
      <c r="O2" s="3">
        <v>339.2</v>
      </c>
      <c r="P2" s="3">
        <v>356.8</v>
      </c>
      <c r="Q2" s="3">
        <v>353.6</v>
      </c>
      <c r="R2" s="3">
        <v>378.4</v>
      </c>
      <c r="S2" s="3">
        <v>357.6</v>
      </c>
      <c r="T2" s="3">
        <v>378.4</v>
      </c>
      <c r="U2" s="3">
        <v>334.4</v>
      </c>
      <c r="V2" s="3">
        <v>324</v>
      </c>
      <c r="W2" s="3">
        <v>331.2</v>
      </c>
      <c r="X2" s="3">
        <v>336.8</v>
      </c>
      <c r="Y2" s="3">
        <v>368</v>
      </c>
      <c r="Z2" s="3">
        <v>346.4</v>
      </c>
      <c r="AA2" s="3">
        <v>352</v>
      </c>
      <c r="AB2" s="3">
        <v>378.4</v>
      </c>
      <c r="AC2" s="3">
        <v>347.2</v>
      </c>
      <c r="AD2" s="3">
        <v>357.6</v>
      </c>
      <c r="AE2" s="3">
        <v>357.6</v>
      </c>
      <c r="AF2" s="3">
        <v>391.2</v>
      </c>
      <c r="AG2" s="3">
        <v>388</v>
      </c>
      <c r="AH2" s="3">
        <v>344.8</v>
      </c>
      <c r="AI2" s="3">
        <v>369.6</v>
      </c>
      <c r="AJ2" s="3">
        <v>344.8</v>
      </c>
      <c r="AK2" s="3">
        <v>347.2</v>
      </c>
      <c r="AL2" s="3">
        <v>356</v>
      </c>
      <c r="AM2" s="3">
        <v>363.2</v>
      </c>
      <c r="AN2" s="3">
        <v>432.8</v>
      </c>
      <c r="AO2" s="3">
        <v>389.6</v>
      </c>
      <c r="AP2" s="3">
        <v>384.8</v>
      </c>
      <c r="AQ2" s="3">
        <v>422.4</v>
      </c>
      <c r="AR2" s="3">
        <v>369.6</v>
      </c>
      <c r="AS2" s="3">
        <v>352.8</v>
      </c>
      <c r="AT2" s="3">
        <v>344</v>
      </c>
      <c r="AU2" s="3">
        <v>348</v>
      </c>
      <c r="AV2" s="3">
        <v>372.8</v>
      </c>
      <c r="AW2" s="3">
        <v>352</v>
      </c>
      <c r="AX2" s="3">
        <v>396.8</v>
      </c>
      <c r="AY2" s="3">
        <v>376</v>
      </c>
      <c r="AZ2" s="3">
        <v>369.6</v>
      </c>
      <c r="BA2" s="3">
        <v>364</v>
      </c>
      <c r="BB2" s="3">
        <v>314.4</v>
      </c>
      <c r="BC2" s="3">
        <v>324.8</v>
      </c>
      <c r="BD2" s="3">
        <v>314.4</v>
      </c>
      <c r="BE2" s="3">
        <v>322.4</v>
      </c>
      <c r="BF2" s="3">
        <v>338.4</v>
      </c>
      <c r="BG2" s="3">
        <v>321.6</v>
      </c>
      <c r="BH2" s="3">
        <v>334.4</v>
      </c>
      <c r="BI2" s="3">
        <v>333.6</v>
      </c>
      <c r="BJ2" s="3">
        <v>357.6</v>
      </c>
      <c r="BK2" s="3">
        <v>384.8</v>
      </c>
      <c r="BL2" s="3">
        <v>367.2</v>
      </c>
      <c r="BM2" s="3">
        <v>379.2</v>
      </c>
      <c r="BN2" s="3">
        <v>380</v>
      </c>
      <c r="BO2" s="3">
        <v>376.8</v>
      </c>
      <c r="BP2" s="3">
        <v>385.6</v>
      </c>
      <c r="BQ2" s="3">
        <v>368</v>
      </c>
      <c r="BR2" s="3">
        <v>344</v>
      </c>
      <c r="BS2" s="3">
        <v>362.4</v>
      </c>
      <c r="BT2" s="3">
        <v>334.4</v>
      </c>
      <c r="BU2" s="3">
        <v>340.8</v>
      </c>
      <c r="BV2" s="3">
        <v>332.8</v>
      </c>
      <c r="BW2" s="3">
        <v>377.6</v>
      </c>
      <c r="BX2" s="3">
        <v>366.4</v>
      </c>
      <c r="BY2" s="3">
        <v>410.4</v>
      </c>
      <c r="BZ2" s="3">
        <v>399.2</v>
      </c>
      <c r="CA2" s="3">
        <v>375.2</v>
      </c>
      <c r="CB2" s="3">
        <v>368</v>
      </c>
      <c r="CC2" s="3">
        <v>372</v>
      </c>
      <c r="CD2" s="3">
        <v>373.6</v>
      </c>
      <c r="CE2" s="3">
        <v>385.6</v>
      </c>
      <c r="CF2" s="3">
        <v>381.6</v>
      </c>
      <c r="CG2" s="3">
        <v>355.2</v>
      </c>
      <c r="CH2" s="3">
        <v>356</v>
      </c>
      <c r="CI2" s="3">
        <v>353.6</v>
      </c>
      <c r="CJ2" s="3">
        <v>363.2</v>
      </c>
      <c r="CK2" s="3">
        <v>324</v>
      </c>
      <c r="CL2" s="3">
        <v>321.6</v>
      </c>
      <c r="CM2" s="3">
        <v>327.2</v>
      </c>
      <c r="CN2" s="3">
        <v>307.2</v>
      </c>
      <c r="CO2" s="3">
        <v>308</v>
      </c>
      <c r="CP2" s="3">
        <v>300.8</v>
      </c>
      <c r="CQ2" s="3">
        <v>323.2</v>
      </c>
      <c r="CR2" s="3">
        <v>307.2</v>
      </c>
      <c r="CS2" s="3">
        <v>354.4</v>
      </c>
      <c r="CT2" s="42">
        <f>IFERROR(('基本数据输入&amp;测算结果'!$C$19*7-AVERAGE(B2:Y2,CP2:CS2)*7-'基本数据输入&amp;测算结果'!$C$23*7)/'基本数据输入&amp;测算结果'!$C$21*'基本数据输入&amp;测算结果'!$C$22,"无数据/数据缺失")</f>
        <v>5105.01155555556</v>
      </c>
      <c r="CU2" s="42">
        <f>IF(CT2&lt;0,0,IF(CT2="无数据/数据缺失",0%,IF(CT2&gt;'基本数据输入&amp;测算结果'!$C$20,100%,CT2/'基本数据输入&amp;测算结果'!$C$20)))</f>
        <v>1</v>
      </c>
      <c r="CV2" s="42">
        <f>IFERROR((AVERAGE(Z2:AW2)*6-'基本数据输入&amp;测算结果'!$C$24*6)/'基本数据输入&amp;测算结果'!$C$21/'基本数据输入&amp;测算结果'!$C$22,"无数据/数据缺失")</f>
        <v>1932.03181489516</v>
      </c>
      <c r="CW2" s="42">
        <f>IF(CV2&lt;0,0,IF(CV2="无数据/数据缺失",0%,IF(CV2&gt;'基本数据输入&amp;测算结果'!$C$20*CU2,CU2,CV2/'基本数据输入&amp;测算结果'!$C$20*CU2)))</f>
        <v>1</v>
      </c>
      <c r="CX2" s="42">
        <f>IFERROR(('基本数据输入&amp;测算结果'!$C$19*2-AVERAGE(AX2:BE2)*2-'基本数据输入&amp;测算结果'!$C$23*2)/'基本数据输入&amp;测算结果'!$C$21*'基本数据输入&amp;测算结果'!$C$22,"无数据/数据缺失")</f>
        <v>1442.82755555556</v>
      </c>
      <c r="CY2" s="42">
        <f>IF(CX2&lt;0,0,IF(CX2="无数据/数据缺失",0%,IF(CX2&gt;'基本数据输入&amp;测算结果'!$C$20,100%,CX2/'基本数据输入&amp;测算结果'!$C$20)))</f>
        <v>1</v>
      </c>
      <c r="CZ2" s="42">
        <f>IFERROR((AVERAGE(BJ2:CO2)*8-'基本数据输入&amp;测算结果'!$C$24*8)/'基本数据输入&amp;测算结果'!$C$21/'基本数据输入&amp;测算结果'!$C$22,"无数据/数据缺失")</f>
        <v>2512.41262954929</v>
      </c>
      <c r="DA2" s="42">
        <f>IF(CZ2&lt;0,0,IF(CZ2="无数据/数据缺失",0,IF('基本数据输入&amp;测算结果'!$C$20*CY2&gt;CZ2,CZ2/'基本数据输入&amp;测算结果'!$C$20*CY2,CY2)))</f>
        <v>1</v>
      </c>
      <c r="DB2" s="49">
        <f t="shared" ref="DB2:DB33" si="4">MIN(CU2,CW2)+MIN(CY2,DA2)</f>
        <v>2</v>
      </c>
      <c r="DC2" s="50">
        <f>IF(DA2=0,0,IF(AVERAGE(BZ2:CG2)*2&gt;'基本数据输入&amp;测算结果'!$C$20*DA2,100%,AVERAGE(BZ2:CG2)*2/('基本数据输入&amp;测算结果'!$C$20*DA2)))</f>
        <v>1</v>
      </c>
      <c r="DD2" s="50"/>
    </row>
    <row r="3" customHeight="1" spans="1:109">
      <c r="A3" s="48" t="s">
        <v>57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42" t="str">
        <f>IFERROR(('基本数据输入&amp;测算结果'!$C$19*7-AVERAGE(B3:Y3,CP3:CS3)*7-'基本数据输入&amp;测算结果'!$C$23*7)/'基本数据输入&amp;测算结果'!$C$21*'基本数据输入&amp;测算结果'!$C$22,"无数据/数据缺失")</f>
        <v>无数据/数据缺失</v>
      </c>
      <c r="CU3" s="42">
        <f>IF(CT3&lt;0,0,IF(CT3="无数据/数据缺失",0%,IF(CT3&gt;'基本数据输入&amp;测算结果'!$C$20,100%,CT3/'基本数据输入&amp;测算结果'!$C$20)))</f>
        <v>0</v>
      </c>
      <c r="CV3" s="42" t="str">
        <f>IFERROR((AVERAGE(Z3:AW3)*6-'基本数据输入&amp;测算结果'!$C$24*6)/'基本数据输入&amp;测算结果'!$C$21/'基本数据输入&amp;测算结果'!$C$22,"无数据/数据缺失")</f>
        <v>无数据/数据缺失</v>
      </c>
      <c r="CW3" s="42">
        <f>IF(CV3&lt;0,0,IF(CV3="无数据/数据缺失",0%,IF(CV3&gt;'基本数据输入&amp;测算结果'!$C$20*CU3,CU3,CV3/'基本数据输入&amp;测算结果'!$C$20*CU3)))</f>
        <v>0</v>
      </c>
      <c r="CX3" s="42" t="str">
        <f>IFERROR(('基本数据输入&amp;测算结果'!$C$19*2-AVERAGE(AX3:BE3)*2-'基本数据输入&amp;测算结果'!$C$23*2)/'基本数据输入&amp;测算结果'!$C$21*'基本数据输入&amp;测算结果'!$C$22,"无数据/数据缺失")</f>
        <v>无数据/数据缺失</v>
      </c>
      <c r="CY3" s="42">
        <f>IF(CX3&lt;0,0,IF(CX3="无数据/数据缺失",0%,IF(CX3&gt;'基本数据输入&amp;测算结果'!$C$20,100%,CX3/'基本数据输入&amp;测算结果'!$C$20)))</f>
        <v>0</v>
      </c>
      <c r="CZ3" s="42" t="str">
        <f>IFERROR((AVERAGE(BJ3:CO3)*8-'基本数据输入&amp;测算结果'!$C$24*8)/'基本数据输入&amp;测算结果'!$C$21/'基本数据输入&amp;测算结果'!$C$22,"无数据/数据缺失")</f>
        <v>无数据/数据缺失</v>
      </c>
      <c r="DA3" s="42">
        <f>IF(CZ3&lt;0,0,IF(CZ3="无数据/数据缺失",0,IF('基本数据输入&amp;测算结果'!$C$20*CY3&gt;CZ3,CZ3/'基本数据输入&amp;测算结果'!$C$20*CY3,CY3)))</f>
        <v>0</v>
      </c>
      <c r="DB3" s="49">
        <f t="shared" si="4"/>
        <v>0</v>
      </c>
      <c r="DC3" s="50">
        <f>IF(DA3=0,0,IF(AVERAGE(BZ3:CG3)*2&gt;'基本数据输入&amp;测算结果'!$C$20*DA3,100%,AVERAGE(BZ3:CG3)*2/('基本数据输入&amp;测算结果'!$C$20*DA3)))</f>
        <v>0</v>
      </c>
      <c r="DD3" s="50"/>
    </row>
    <row r="4" customHeight="1" spans="1:109">
      <c r="A4" s="48" t="s">
        <v>58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  <c r="CM4" s="51"/>
      <c r="CN4" s="51"/>
      <c r="CO4" s="51"/>
      <c r="CP4" s="51"/>
      <c r="CQ4" s="51"/>
      <c r="CR4" s="51"/>
      <c r="CS4" s="51"/>
      <c r="CT4" s="42" t="str">
        <f>IFERROR(('基本数据输入&amp;测算结果'!$C$19*7-AVERAGE(B4:Y4,CP4:CS4)*7-'基本数据输入&amp;测算结果'!$C$23*7)/'基本数据输入&amp;测算结果'!$C$21*'基本数据输入&amp;测算结果'!$C$22,"无数据/数据缺失")</f>
        <v>无数据/数据缺失</v>
      </c>
      <c r="CU4" s="42">
        <f>IF(CT4&lt;0,0,IF(CT4="无数据/数据缺失",0%,IF(CT4&gt;'基本数据输入&amp;测算结果'!$C$20,100%,CT4/'基本数据输入&amp;测算结果'!$C$20)))</f>
        <v>0</v>
      </c>
      <c r="CV4" s="42" t="str">
        <f>IFERROR((AVERAGE(Z4:AW4)*6-'基本数据输入&amp;测算结果'!$C$24*6)/'基本数据输入&amp;测算结果'!$C$21/'基本数据输入&amp;测算结果'!$C$22,"无数据/数据缺失")</f>
        <v>无数据/数据缺失</v>
      </c>
      <c r="CW4" s="42">
        <f>IF(CV4&lt;0,0,IF(CV4="无数据/数据缺失",0%,IF(CV4&gt;'基本数据输入&amp;测算结果'!$C$20*CU4,CU4,CV4/'基本数据输入&amp;测算结果'!$C$20*CU4)))</f>
        <v>0</v>
      </c>
      <c r="CX4" s="42" t="str">
        <f>IFERROR(('基本数据输入&amp;测算结果'!$C$19*2-AVERAGE(AX4:BE4)*2-'基本数据输入&amp;测算结果'!$C$23*2)/'基本数据输入&amp;测算结果'!$C$21*'基本数据输入&amp;测算结果'!$C$22,"无数据/数据缺失")</f>
        <v>无数据/数据缺失</v>
      </c>
      <c r="CY4" s="42">
        <f>IF(CX4&lt;0,0,IF(CX4="无数据/数据缺失",0%,IF(CX4&gt;'基本数据输入&amp;测算结果'!$C$20,100%,CX4/'基本数据输入&amp;测算结果'!$C$20)))</f>
        <v>0</v>
      </c>
      <c r="CZ4" s="42" t="str">
        <f>IFERROR((AVERAGE(BJ4:CO4)*8-'基本数据输入&amp;测算结果'!$C$24*8)/'基本数据输入&amp;测算结果'!$C$21/'基本数据输入&amp;测算结果'!$C$22,"无数据/数据缺失")</f>
        <v>无数据/数据缺失</v>
      </c>
      <c r="DA4" s="42">
        <f>IF(CZ4&lt;0,0,IF(CZ4="无数据/数据缺失",0,IF('基本数据输入&amp;测算结果'!$C$20*CY4&gt;CZ4,CZ4/'基本数据输入&amp;测算结果'!$C$20*CY4,CY4)))</f>
        <v>0</v>
      </c>
      <c r="DB4" s="49">
        <f t="shared" si="4"/>
        <v>0</v>
      </c>
      <c r="DC4" s="50">
        <f>IF(DA4=0,0,IF(AVERAGE(BZ4:CG4)*2&gt;'基本数据输入&amp;测算结果'!$C$20*DA4,100%,AVERAGE(BZ4:CG4)*2/('基本数据输入&amp;测算结果'!$C$20*DA4)))</f>
        <v>0</v>
      </c>
      <c r="DD4" s="50"/>
    </row>
    <row r="5" customHeight="1" spans="1:109">
      <c r="A5" s="48" t="s">
        <v>59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42" t="str">
        <f>IFERROR(('基本数据输入&amp;测算结果'!$C$19*7-AVERAGE(B5:Y5,CP5:CS5)*7-'基本数据输入&amp;测算结果'!$C$23*7)/'基本数据输入&amp;测算结果'!$C$21*'基本数据输入&amp;测算结果'!$C$22,"无数据/数据缺失")</f>
        <v>无数据/数据缺失</v>
      </c>
      <c r="CU5" s="42">
        <f>IF(CT5&lt;0,0,IF(CT5="无数据/数据缺失",0%,IF(CT5&gt;'基本数据输入&amp;测算结果'!$C$20,100%,CT5/'基本数据输入&amp;测算结果'!$C$20)))</f>
        <v>0</v>
      </c>
      <c r="CV5" s="42" t="str">
        <f>IFERROR((AVERAGE(Z5:AW5)*6-'基本数据输入&amp;测算结果'!$C$24*6)/'基本数据输入&amp;测算结果'!$C$21/'基本数据输入&amp;测算结果'!$C$22,"无数据/数据缺失")</f>
        <v>无数据/数据缺失</v>
      </c>
      <c r="CW5" s="42">
        <f>IF(CV5&lt;0,0,IF(CV5="无数据/数据缺失",0%,IF(CV5&gt;'基本数据输入&amp;测算结果'!$C$20*CU5,CU5,CV5/'基本数据输入&amp;测算结果'!$C$20*CU5)))</f>
        <v>0</v>
      </c>
      <c r="CX5" s="42" t="str">
        <f>IFERROR(('基本数据输入&amp;测算结果'!$C$19*2-AVERAGE(AX5:BE5)*2-'基本数据输入&amp;测算结果'!$C$23*2)/'基本数据输入&amp;测算结果'!$C$21*'基本数据输入&amp;测算结果'!$C$22,"无数据/数据缺失")</f>
        <v>无数据/数据缺失</v>
      </c>
      <c r="CY5" s="42">
        <f>IF(CX5&lt;0,0,IF(CX5="无数据/数据缺失",0%,IF(CX5&gt;'基本数据输入&amp;测算结果'!$C$20,100%,CX5/'基本数据输入&amp;测算结果'!$C$20)))</f>
        <v>0</v>
      </c>
      <c r="CZ5" s="42" t="str">
        <f>IFERROR((AVERAGE(BJ5:CO5)*8-'基本数据输入&amp;测算结果'!$C$24*8)/'基本数据输入&amp;测算结果'!$C$21/'基本数据输入&amp;测算结果'!$C$22,"无数据/数据缺失")</f>
        <v>无数据/数据缺失</v>
      </c>
      <c r="DA5" s="42">
        <f>IF(CZ5&lt;0,0,IF(CZ5="无数据/数据缺失",0,IF('基本数据输入&amp;测算结果'!$C$20*CY5&gt;CZ5,CZ5/'基本数据输入&amp;测算结果'!$C$20*CY5,CY5)))</f>
        <v>0</v>
      </c>
      <c r="DB5" s="49">
        <f t="shared" si="4"/>
        <v>0</v>
      </c>
      <c r="DC5" s="50">
        <f>IF(DA5=0,0,IF(AVERAGE(BZ5:CG5)*2&gt;'基本数据输入&amp;测算结果'!$C$20*DA5,100%,AVERAGE(BZ5:CG5)*2/('基本数据输入&amp;测算结果'!$C$20*DA5)))</f>
        <v>0</v>
      </c>
      <c r="DD5" s="50"/>
    </row>
    <row r="6" customHeight="1" spans="1:109">
      <c r="A6" s="48" t="s">
        <v>60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42" t="str">
        <f>IFERROR(('基本数据输入&amp;测算结果'!$C$19*7-AVERAGE(B6:Y6,CP6:CS6)*7-'基本数据输入&amp;测算结果'!$C$23*7)/'基本数据输入&amp;测算结果'!$C$21*'基本数据输入&amp;测算结果'!$C$22,"无数据/数据缺失")</f>
        <v>无数据/数据缺失</v>
      </c>
      <c r="CU6" s="42">
        <f>IF(CT6&lt;0,0,IF(CT6="无数据/数据缺失",0%,IF(CT6&gt;'基本数据输入&amp;测算结果'!$C$20,100%,CT6/'基本数据输入&amp;测算结果'!$C$20)))</f>
        <v>0</v>
      </c>
      <c r="CV6" s="42" t="str">
        <f>IFERROR((AVERAGE(Z6:AW6)*6-'基本数据输入&amp;测算结果'!$C$24*6)/'基本数据输入&amp;测算结果'!$C$21/'基本数据输入&amp;测算结果'!$C$22,"无数据/数据缺失")</f>
        <v>无数据/数据缺失</v>
      </c>
      <c r="CW6" s="42">
        <f>IF(CV6&lt;0,0,IF(CV6="无数据/数据缺失",0%,IF(CV6&gt;'基本数据输入&amp;测算结果'!$C$20*CU6,CU6,CV6/'基本数据输入&amp;测算结果'!$C$20*CU6)))</f>
        <v>0</v>
      </c>
      <c r="CX6" s="42" t="str">
        <f>IFERROR(('基本数据输入&amp;测算结果'!$C$19*2-AVERAGE(AX6:BE6)*2-'基本数据输入&amp;测算结果'!$C$23*2)/'基本数据输入&amp;测算结果'!$C$21*'基本数据输入&amp;测算结果'!$C$22,"无数据/数据缺失")</f>
        <v>无数据/数据缺失</v>
      </c>
      <c r="CY6" s="42">
        <f>IF(CX6&lt;0,0,IF(CX6="无数据/数据缺失",0%,IF(CX6&gt;'基本数据输入&amp;测算结果'!$C$20,100%,CX6/'基本数据输入&amp;测算结果'!$C$20)))</f>
        <v>0</v>
      </c>
      <c r="CZ6" s="42" t="str">
        <f>IFERROR((AVERAGE(BJ6:CO6)*8-'基本数据输入&amp;测算结果'!$C$24*8)/'基本数据输入&amp;测算结果'!$C$21/'基本数据输入&amp;测算结果'!$C$22,"无数据/数据缺失")</f>
        <v>无数据/数据缺失</v>
      </c>
      <c r="DA6" s="42">
        <f>IF(CZ6&lt;0,0,IF(CZ6="无数据/数据缺失",0,IF('基本数据输入&amp;测算结果'!$C$20*CY6&gt;CZ6,CZ6/'基本数据输入&amp;测算结果'!$C$20*CY6,CY6)))</f>
        <v>0</v>
      </c>
      <c r="DB6" s="49">
        <f t="shared" si="4"/>
        <v>0</v>
      </c>
      <c r="DC6" s="50">
        <f>IF(DA6=0,0,IF(AVERAGE(BZ6:CG6)*2&gt;'基本数据输入&amp;测算结果'!$C$20*DA6,100%,AVERAGE(BZ6:CG6)*2/('基本数据输入&amp;测算结果'!$C$20*DA6)))</f>
        <v>0</v>
      </c>
      <c r="DD6" s="50"/>
    </row>
    <row r="7" customHeight="1" spans="1:109">
      <c r="A7" s="48" t="s">
        <v>61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51"/>
      <c r="CT7" s="42" t="str">
        <f>IFERROR(('基本数据输入&amp;测算结果'!$C$19*7-AVERAGE(B7:Y7,CP7:CS7)*7-'基本数据输入&amp;测算结果'!$C$23*7)/'基本数据输入&amp;测算结果'!$C$21*'基本数据输入&amp;测算结果'!$C$22,"无数据/数据缺失")</f>
        <v>无数据/数据缺失</v>
      </c>
      <c r="CU7" s="42">
        <f>IF(CT7&lt;0,0,IF(CT7="无数据/数据缺失",0%,IF(CT7&gt;'基本数据输入&amp;测算结果'!$C$20,100%,CT7/'基本数据输入&amp;测算结果'!$C$20)))</f>
        <v>0</v>
      </c>
      <c r="CV7" s="42" t="str">
        <f>IFERROR((AVERAGE(Z7:AW7)*6-'基本数据输入&amp;测算结果'!$C$24*6)/'基本数据输入&amp;测算结果'!$C$21/'基本数据输入&amp;测算结果'!$C$22,"无数据/数据缺失")</f>
        <v>无数据/数据缺失</v>
      </c>
      <c r="CW7" s="42">
        <f>IF(CV7&lt;0,0,IF(CV7="无数据/数据缺失",0%,IF(CV7&gt;'基本数据输入&amp;测算结果'!$C$20*CU7,CU7,CV7/'基本数据输入&amp;测算结果'!$C$20*CU7)))</f>
        <v>0</v>
      </c>
      <c r="CX7" s="42" t="str">
        <f>IFERROR(('基本数据输入&amp;测算结果'!$C$19*2-AVERAGE(AX7:BE7)*2-'基本数据输入&amp;测算结果'!$C$23*2)/'基本数据输入&amp;测算结果'!$C$21*'基本数据输入&amp;测算结果'!$C$22,"无数据/数据缺失")</f>
        <v>无数据/数据缺失</v>
      </c>
      <c r="CY7" s="42">
        <f>IF(CX7&lt;0,0,IF(CX7="无数据/数据缺失",0%,IF(CX7&gt;'基本数据输入&amp;测算结果'!$C$20,100%,CX7/'基本数据输入&amp;测算结果'!$C$20)))</f>
        <v>0</v>
      </c>
      <c r="CZ7" s="42" t="str">
        <f>IFERROR((AVERAGE(BJ7:CO7)*8-'基本数据输入&amp;测算结果'!$C$24*8)/'基本数据输入&amp;测算结果'!$C$21/'基本数据输入&amp;测算结果'!$C$22,"无数据/数据缺失")</f>
        <v>无数据/数据缺失</v>
      </c>
      <c r="DA7" s="42">
        <f>IF(CZ7&lt;0,0,IF(CZ7="无数据/数据缺失",0,IF('基本数据输入&amp;测算结果'!$C$20*CY7&gt;CZ7,CZ7/'基本数据输入&amp;测算结果'!$C$20*CY7,CY7)))</f>
        <v>0</v>
      </c>
      <c r="DB7" s="49">
        <f t="shared" si="4"/>
        <v>0</v>
      </c>
      <c r="DC7" s="50">
        <f>IF(DA7=0,0,IF(AVERAGE(BZ7:CG7)*2&gt;'基本数据输入&amp;测算结果'!$C$20*DA7,100%,AVERAGE(BZ7:CG7)*2/('基本数据输入&amp;测算结果'!$C$20*DA7)))</f>
        <v>0</v>
      </c>
      <c r="DD7" s="50"/>
    </row>
    <row r="8" customHeight="1" spans="1:109">
      <c r="A8" s="48" t="s">
        <v>62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  <c r="CM8" s="51"/>
      <c r="CN8" s="51"/>
      <c r="CO8" s="51"/>
      <c r="CP8" s="51"/>
      <c r="CQ8" s="51"/>
      <c r="CR8" s="51"/>
      <c r="CS8" s="51"/>
      <c r="CT8" s="42" t="str">
        <f>IFERROR(('基本数据输入&amp;测算结果'!$C$19*7-AVERAGE(B8:Y8,CP8:CS8)*7-'基本数据输入&amp;测算结果'!$C$23*7)/'基本数据输入&amp;测算结果'!$C$21*'基本数据输入&amp;测算结果'!$C$22,"无数据/数据缺失")</f>
        <v>无数据/数据缺失</v>
      </c>
      <c r="CU8" s="42">
        <f>IF(CT8&lt;0,0,IF(CT8="无数据/数据缺失",0%,IF(CT8&gt;'基本数据输入&amp;测算结果'!$C$20,100%,CT8/'基本数据输入&amp;测算结果'!$C$20)))</f>
        <v>0</v>
      </c>
      <c r="CV8" s="42" t="str">
        <f>IFERROR((AVERAGE(Z8:AW8)*6-'基本数据输入&amp;测算结果'!$C$24*6)/'基本数据输入&amp;测算结果'!$C$21/'基本数据输入&amp;测算结果'!$C$22,"无数据/数据缺失")</f>
        <v>无数据/数据缺失</v>
      </c>
      <c r="CW8" s="42">
        <f>IF(CV8&lt;0,0,IF(CV8="无数据/数据缺失",0%,IF(CV8&gt;'基本数据输入&amp;测算结果'!$C$20*CU8,CU8,CV8/'基本数据输入&amp;测算结果'!$C$20*CU8)))</f>
        <v>0</v>
      </c>
      <c r="CX8" s="42" t="str">
        <f>IFERROR(('基本数据输入&amp;测算结果'!$C$19*2-AVERAGE(AX8:BE8)*2-'基本数据输入&amp;测算结果'!$C$23*2)/'基本数据输入&amp;测算结果'!$C$21*'基本数据输入&amp;测算结果'!$C$22,"无数据/数据缺失")</f>
        <v>无数据/数据缺失</v>
      </c>
      <c r="CY8" s="42">
        <f>IF(CX8&lt;0,0,IF(CX8="无数据/数据缺失",0%,IF(CX8&gt;'基本数据输入&amp;测算结果'!$C$20,100%,CX8/'基本数据输入&amp;测算结果'!$C$20)))</f>
        <v>0</v>
      </c>
      <c r="CZ8" s="42" t="str">
        <f>IFERROR((AVERAGE(BJ8:CO8)*8-'基本数据输入&amp;测算结果'!$C$24*8)/'基本数据输入&amp;测算结果'!$C$21/'基本数据输入&amp;测算结果'!$C$22,"无数据/数据缺失")</f>
        <v>无数据/数据缺失</v>
      </c>
      <c r="DA8" s="42">
        <f>IF(CZ8&lt;0,0,IF(CZ8="无数据/数据缺失",0,IF('基本数据输入&amp;测算结果'!$C$20*CY8&gt;CZ8,CZ8/'基本数据输入&amp;测算结果'!$C$20*CY8,CY8)))</f>
        <v>0</v>
      </c>
      <c r="DB8" s="49">
        <f t="shared" si="4"/>
        <v>0</v>
      </c>
      <c r="DC8" s="50">
        <f>IF(DA8=0,0,IF(AVERAGE(BZ8:CG8)*2&gt;'基本数据输入&amp;测算结果'!$C$20*DA8,100%,AVERAGE(BZ8:CG8)*2/('基本数据输入&amp;测算结果'!$C$20*DA8)))</f>
        <v>0</v>
      </c>
      <c r="DD8" s="50"/>
    </row>
    <row r="9" customHeight="1" spans="1:109">
      <c r="A9" s="48" t="s">
        <v>63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  <c r="CT9" s="42" t="str">
        <f>IFERROR(('基本数据输入&amp;测算结果'!$C$19*7-AVERAGE(B9:Y9,CP9:CS9)*7-'基本数据输入&amp;测算结果'!$C$23*7)/'基本数据输入&amp;测算结果'!$C$21*'基本数据输入&amp;测算结果'!$C$22,"无数据/数据缺失")</f>
        <v>无数据/数据缺失</v>
      </c>
      <c r="CU9" s="42">
        <f>IF(CT9&lt;0,0,IF(CT9="无数据/数据缺失",0%,IF(CT9&gt;'基本数据输入&amp;测算结果'!$C$20,100%,CT9/'基本数据输入&amp;测算结果'!$C$20)))</f>
        <v>0</v>
      </c>
      <c r="CV9" s="42" t="str">
        <f>IFERROR((AVERAGE(Z9:AW9)*6-'基本数据输入&amp;测算结果'!$C$24*6)/'基本数据输入&amp;测算结果'!$C$21/'基本数据输入&amp;测算结果'!$C$22,"无数据/数据缺失")</f>
        <v>无数据/数据缺失</v>
      </c>
      <c r="CW9" s="42">
        <f>IF(CV9&lt;0,0,IF(CV9="无数据/数据缺失",0%,IF(CV9&gt;'基本数据输入&amp;测算结果'!$C$20*CU9,CU9,CV9/'基本数据输入&amp;测算结果'!$C$20*CU9)))</f>
        <v>0</v>
      </c>
      <c r="CX9" s="42" t="str">
        <f>IFERROR(('基本数据输入&amp;测算结果'!$C$19*2-AVERAGE(AX9:BE9)*2-'基本数据输入&amp;测算结果'!$C$23*2)/'基本数据输入&amp;测算结果'!$C$21*'基本数据输入&amp;测算结果'!$C$22,"无数据/数据缺失")</f>
        <v>无数据/数据缺失</v>
      </c>
      <c r="CY9" s="42">
        <f>IF(CX9&lt;0,0,IF(CX9="无数据/数据缺失",0%,IF(CX9&gt;'基本数据输入&amp;测算结果'!$C$20,100%,CX9/'基本数据输入&amp;测算结果'!$C$20)))</f>
        <v>0</v>
      </c>
      <c r="CZ9" s="42" t="str">
        <f>IFERROR((AVERAGE(BJ9:CO9)*8-'基本数据输入&amp;测算结果'!$C$24*8)/'基本数据输入&amp;测算结果'!$C$21/'基本数据输入&amp;测算结果'!$C$22,"无数据/数据缺失")</f>
        <v>无数据/数据缺失</v>
      </c>
      <c r="DA9" s="42">
        <f>IF(CZ9&lt;0,0,IF(CZ9="无数据/数据缺失",0,IF('基本数据输入&amp;测算结果'!$C$20*CY9&gt;CZ9,CZ9/'基本数据输入&amp;测算结果'!$C$20*CY9,CY9)))</f>
        <v>0</v>
      </c>
      <c r="DB9" s="49">
        <f t="shared" si="4"/>
        <v>0</v>
      </c>
      <c r="DC9" s="50">
        <f>IF(DA9=0,0,IF(AVERAGE(BZ9:CG9)*2&gt;'基本数据输入&amp;测算结果'!$C$20*DA9,100%,AVERAGE(BZ9:CG9)*2/('基本数据输入&amp;测算结果'!$C$20*DA9)))</f>
        <v>0</v>
      </c>
      <c r="DD9" s="50"/>
    </row>
    <row r="10" customHeight="1" spans="1:109">
      <c r="A10" s="48" t="s">
        <v>64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  <c r="CM10" s="51"/>
      <c r="CN10" s="51"/>
      <c r="CO10" s="51"/>
      <c r="CP10" s="51"/>
      <c r="CQ10" s="51"/>
      <c r="CR10" s="51"/>
      <c r="CS10" s="51"/>
      <c r="CT10" s="42" t="str">
        <f>IFERROR(('基本数据输入&amp;测算结果'!$C$19*7-AVERAGE(B10:Y10,CP10:CS10)*7-'基本数据输入&amp;测算结果'!$C$23*7)/'基本数据输入&amp;测算结果'!$C$21*'基本数据输入&amp;测算结果'!$C$22,"无数据/数据缺失")</f>
        <v>无数据/数据缺失</v>
      </c>
      <c r="CU10" s="42">
        <f>IF(CT10&lt;0,0,IF(CT10="无数据/数据缺失",0%,IF(CT10&gt;'基本数据输入&amp;测算结果'!$C$20,100%,CT10/'基本数据输入&amp;测算结果'!$C$20)))</f>
        <v>0</v>
      </c>
      <c r="CV10" s="42" t="str">
        <f>IFERROR((AVERAGE(Z10:AW10)*6-'基本数据输入&amp;测算结果'!$C$24*6)/'基本数据输入&amp;测算结果'!$C$21/'基本数据输入&amp;测算结果'!$C$22,"无数据/数据缺失")</f>
        <v>无数据/数据缺失</v>
      </c>
      <c r="CW10" s="42">
        <f>IF(CV10&lt;0,0,IF(CV10="无数据/数据缺失",0%,IF(CV10&gt;'基本数据输入&amp;测算结果'!$C$20*CU10,CU10,CV10/'基本数据输入&amp;测算结果'!$C$20*CU10)))</f>
        <v>0</v>
      </c>
      <c r="CX10" s="42" t="str">
        <f>IFERROR(('基本数据输入&amp;测算结果'!$C$19*2-AVERAGE(AX10:BE10)*2-'基本数据输入&amp;测算结果'!$C$23*2)/'基本数据输入&amp;测算结果'!$C$21*'基本数据输入&amp;测算结果'!$C$22,"无数据/数据缺失")</f>
        <v>无数据/数据缺失</v>
      </c>
      <c r="CY10" s="42">
        <f>IF(CX10&lt;0,0,IF(CX10="无数据/数据缺失",0%,IF(CX10&gt;'基本数据输入&amp;测算结果'!$C$20,100%,CX10/'基本数据输入&amp;测算结果'!$C$20)))</f>
        <v>0</v>
      </c>
      <c r="CZ10" s="42" t="str">
        <f>IFERROR((AVERAGE(BJ10:CO10)*8-'基本数据输入&amp;测算结果'!$C$24*8)/'基本数据输入&amp;测算结果'!$C$21/'基本数据输入&amp;测算结果'!$C$22,"无数据/数据缺失")</f>
        <v>无数据/数据缺失</v>
      </c>
      <c r="DA10" s="42">
        <f>IF(CZ10&lt;0,0,IF(CZ10="无数据/数据缺失",0,IF('基本数据输入&amp;测算结果'!$C$20*CY10&gt;CZ10,CZ10/'基本数据输入&amp;测算结果'!$C$20*CY10,CY10)))</f>
        <v>0</v>
      </c>
      <c r="DB10" s="49">
        <f t="shared" si="4"/>
        <v>0</v>
      </c>
      <c r="DC10" s="50">
        <f>IF(DA10=0,0,IF(AVERAGE(BZ10:CG10)*2&gt;'基本数据输入&amp;测算结果'!$C$20*DA10,100%,AVERAGE(BZ10:CG10)*2/('基本数据输入&amp;测算结果'!$C$20*DA10)))</f>
        <v>0</v>
      </c>
      <c r="DD10" s="50"/>
    </row>
    <row r="11" customHeight="1" spans="1:109">
      <c r="A11" s="48" t="s">
        <v>65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  <c r="CM11" s="51"/>
      <c r="CN11" s="51"/>
      <c r="CO11" s="51"/>
      <c r="CP11" s="51"/>
      <c r="CQ11" s="51"/>
      <c r="CR11" s="51"/>
      <c r="CS11" s="51"/>
      <c r="CT11" s="42" t="str">
        <f>IFERROR(('基本数据输入&amp;测算结果'!$C$19*7-AVERAGE(B11:Y11,CP11:CS11)*7-'基本数据输入&amp;测算结果'!$C$23*7)/'基本数据输入&amp;测算结果'!$C$21*'基本数据输入&amp;测算结果'!$C$22,"无数据/数据缺失")</f>
        <v>无数据/数据缺失</v>
      </c>
      <c r="CU11" s="42">
        <f>IF(CT11&lt;0,0,IF(CT11="无数据/数据缺失",0%,IF(CT11&gt;'基本数据输入&amp;测算结果'!$C$20,100%,CT11/'基本数据输入&amp;测算结果'!$C$20)))</f>
        <v>0</v>
      </c>
      <c r="CV11" s="42" t="str">
        <f>IFERROR((AVERAGE(Z11:AW11)*6-'基本数据输入&amp;测算结果'!$C$24*6)/'基本数据输入&amp;测算结果'!$C$21/'基本数据输入&amp;测算结果'!$C$22,"无数据/数据缺失")</f>
        <v>无数据/数据缺失</v>
      </c>
      <c r="CW11" s="42">
        <f>IF(CV11&lt;0,0,IF(CV11="无数据/数据缺失",0%,IF(CV11&gt;'基本数据输入&amp;测算结果'!$C$20*CU11,CU11,CV11/'基本数据输入&amp;测算结果'!$C$20*CU11)))</f>
        <v>0</v>
      </c>
      <c r="CX11" s="42" t="str">
        <f>IFERROR(('基本数据输入&amp;测算结果'!$C$19*2-AVERAGE(AX11:BE11)*2-'基本数据输入&amp;测算结果'!$C$23*2)/'基本数据输入&amp;测算结果'!$C$21*'基本数据输入&amp;测算结果'!$C$22,"无数据/数据缺失")</f>
        <v>无数据/数据缺失</v>
      </c>
      <c r="CY11" s="42">
        <f>IF(CX11&lt;0,0,IF(CX11="无数据/数据缺失",0%,IF(CX11&gt;'基本数据输入&amp;测算结果'!$C$20,100%,CX11/'基本数据输入&amp;测算结果'!$C$20)))</f>
        <v>0</v>
      </c>
      <c r="CZ11" s="42" t="str">
        <f>IFERROR((AVERAGE(BJ11:CO11)*8-'基本数据输入&amp;测算结果'!$C$24*8)/'基本数据输入&amp;测算结果'!$C$21/'基本数据输入&amp;测算结果'!$C$22,"无数据/数据缺失")</f>
        <v>无数据/数据缺失</v>
      </c>
      <c r="DA11" s="42">
        <f>IF(CZ11&lt;0,0,IF(CZ11="无数据/数据缺失",0,IF('基本数据输入&amp;测算结果'!$C$20*CY11&gt;CZ11,CZ11/'基本数据输入&amp;测算结果'!$C$20*CY11,CY11)))</f>
        <v>0</v>
      </c>
      <c r="DB11" s="49">
        <f t="shared" si="4"/>
        <v>0</v>
      </c>
      <c r="DC11" s="50">
        <f>IF(DA11=0,0,IF(AVERAGE(BZ11:CG11)*2&gt;'基本数据输入&amp;测算结果'!$C$20*DA11,100%,AVERAGE(BZ11:CG11)*2/('基本数据输入&amp;测算结果'!$C$20*DA11)))</f>
        <v>0</v>
      </c>
      <c r="DD11" s="50"/>
    </row>
    <row r="12" customHeight="1" spans="1:109">
      <c r="A12" s="48" t="s">
        <v>66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T12" s="42" t="str">
        <f>IFERROR(('基本数据输入&amp;测算结果'!$C$19*7-AVERAGE(B12:Y12,CP12:CS12)*7-'基本数据输入&amp;测算结果'!$C$23*7)/'基本数据输入&amp;测算结果'!$C$21*'基本数据输入&amp;测算结果'!$C$22,"无数据/数据缺失")</f>
        <v>无数据/数据缺失</v>
      </c>
      <c r="CU12" s="42">
        <f>IF(CT12&lt;0,0,IF(CT12="无数据/数据缺失",0%,IF(CT12&gt;'基本数据输入&amp;测算结果'!$C$20,100%,CT12/'基本数据输入&amp;测算结果'!$C$20)))</f>
        <v>0</v>
      </c>
      <c r="CV12" s="42" t="str">
        <f>IFERROR((AVERAGE(Z12:AW12)*6-'基本数据输入&amp;测算结果'!$C$24*6)/'基本数据输入&amp;测算结果'!$C$21/'基本数据输入&amp;测算结果'!$C$22,"无数据/数据缺失")</f>
        <v>无数据/数据缺失</v>
      </c>
      <c r="CW12" s="42">
        <f>IF(CV12&lt;0,0,IF(CV12="无数据/数据缺失",0%,IF(CV12&gt;'基本数据输入&amp;测算结果'!$C$20*CU12,CU12,CV12/'基本数据输入&amp;测算结果'!$C$20*CU12)))</f>
        <v>0</v>
      </c>
      <c r="CX12" s="42" t="str">
        <f>IFERROR(('基本数据输入&amp;测算结果'!$C$19*2-AVERAGE(AX12:BE12)*2-'基本数据输入&amp;测算结果'!$C$23*2)/'基本数据输入&amp;测算结果'!$C$21*'基本数据输入&amp;测算结果'!$C$22,"无数据/数据缺失")</f>
        <v>无数据/数据缺失</v>
      </c>
      <c r="CY12" s="42">
        <f>IF(CX12&lt;0,0,IF(CX12="无数据/数据缺失",0%,IF(CX12&gt;'基本数据输入&amp;测算结果'!$C$20,100%,CX12/'基本数据输入&amp;测算结果'!$C$20)))</f>
        <v>0</v>
      </c>
      <c r="CZ12" s="42" t="str">
        <f>IFERROR((AVERAGE(BJ12:CO12)*8-'基本数据输入&amp;测算结果'!$C$24*8)/'基本数据输入&amp;测算结果'!$C$21/'基本数据输入&amp;测算结果'!$C$22,"无数据/数据缺失")</f>
        <v>无数据/数据缺失</v>
      </c>
      <c r="DA12" s="42">
        <f>IF(CZ12&lt;0,0,IF(CZ12="无数据/数据缺失",0,IF('基本数据输入&amp;测算结果'!$C$20*CY12&gt;CZ12,CZ12/'基本数据输入&amp;测算结果'!$C$20*CY12,CY12)))</f>
        <v>0</v>
      </c>
      <c r="DB12" s="49">
        <f t="shared" si="4"/>
        <v>0</v>
      </c>
      <c r="DC12" s="50">
        <f>IF(DA12=0,0,IF(AVERAGE(BZ12:CG12)*2&gt;'基本数据输入&amp;测算结果'!$C$20*DA12,100%,AVERAGE(BZ12:CG12)*2/('基本数据输入&amp;测算结果'!$C$20*DA12)))</f>
        <v>0</v>
      </c>
      <c r="DD12" s="50"/>
    </row>
    <row r="13" customHeight="1" spans="1:109">
      <c r="A13" s="48" t="s">
        <v>67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42" t="str">
        <f>IFERROR(('基本数据输入&amp;测算结果'!$C$19*7-AVERAGE(B13:Y13,CP13:CS13)*7-'基本数据输入&amp;测算结果'!$C$23*7)/'基本数据输入&amp;测算结果'!$C$21*'基本数据输入&amp;测算结果'!$C$22,"无数据/数据缺失")</f>
        <v>无数据/数据缺失</v>
      </c>
      <c r="CU13" s="42">
        <f>IF(CT13&lt;0,0,IF(CT13="无数据/数据缺失",0%,IF(CT13&gt;'基本数据输入&amp;测算结果'!$C$20,100%,CT13/'基本数据输入&amp;测算结果'!$C$20)))</f>
        <v>0</v>
      </c>
      <c r="CV13" s="42" t="str">
        <f>IFERROR((AVERAGE(Z13:AW13)*6-'基本数据输入&amp;测算结果'!$C$24*6)/'基本数据输入&amp;测算结果'!$C$21/'基本数据输入&amp;测算结果'!$C$22,"无数据/数据缺失")</f>
        <v>无数据/数据缺失</v>
      </c>
      <c r="CW13" s="42">
        <f>IF(CV13&lt;0,0,IF(CV13="无数据/数据缺失",0%,IF(CV13&gt;'基本数据输入&amp;测算结果'!$C$20*CU13,CU13,CV13/'基本数据输入&amp;测算结果'!$C$20*CU13)))</f>
        <v>0</v>
      </c>
      <c r="CX13" s="42" t="str">
        <f>IFERROR(('基本数据输入&amp;测算结果'!$C$19*2-AVERAGE(AX13:BE13)*2-'基本数据输入&amp;测算结果'!$C$23*2)/'基本数据输入&amp;测算结果'!$C$21*'基本数据输入&amp;测算结果'!$C$22,"无数据/数据缺失")</f>
        <v>无数据/数据缺失</v>
      </c>
      <c r="CY13" s="42">
        <f>IF(CX13&lt;0,0,IF(CX13="无数据/数据缺失",0%,IF(CX13&gt;'基本数据输入&amp;测算结果'!$C$20,100%,CX13/'基本数据输入&amp;测算结果'!$C$20)))</f>
        <v>0</v>
      </c>
      <c r="CZ13" s="42" t="str">
        <f>IFERROR((AVERAGE(BJ13:CO13)*8-'基本数据输入&amp;测算结果'!$C$24*8)/'基本数据输入&amp;测算结果'!$C$21/'基本数据输入&amp;测算结果'!$C$22,"无数据/数据缺失")</f>
        <v>无数据/数据缺失</v>
      </c>
      <c r="DA13" s="42">
        <f>IF(CZ13&lt;0,0,IF(CZ13="无数据/数据缺失",0,IF('基本数据输入&amp;测算结果'!$C$20*CY13&gt;CZ13,CZ13/'基本数据输入&amp;测算结果'!$C$20*CY13,CY13)))</f>
        <v>0</v>
      </c>
      <c r="DB13" s="49">
        <f t="shared" si="4"/>
        <v>0</v>
      </c>
      <c r="DC13" s="50">
        <f>IF(DA13=0,0,IF(AVERAGE(BZ13:CG13)*2&gt;'基本数据输入&amp;测算结果'!$C$20*DA13,100%,AVERAGE(BZ13:CG13)*2/('基本数据输入&amp;测算结果'!$C$20*DA13)))</f>
        <v>0</v>
      </c>
      <c r="DD13" s="50"/>
    </row>
    <row r="14" customHeight="1" spans="1:109">
      <c r="A14" s="48" t="s">
        <v>68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42" t="str">
        <f>IFERROR(('基本数据输入&amp;测算结果'!$C$19*7-AVERAGE(B14:Y14,CP14:CS14)*7-'基本数据输入&amp;测算结果'!$C$23*7)/'基本数据输入&amp;测算结果'!$C$21*'基本数据输入&amp;测算结果'!$C$22,"无数据/数据缺失")</f>
        <v>无数据/数据缺失</v>
      </c>
      <c r="CU14" s="42">
        <f>IF(CT14&lt;0,0,IF(CT14="无数据/数据缺失",0%,IF(CT14&gt;'基本数据输入&amp;测算结果'!$C$20,100%,CT14/'基本数据输入&amp;测算结果'!$C$20)))</f>
        <v>0</v>
      </c>
      <c r="CV14" s="42" t="str">
        <f>IFERROR((AVERAGE(Z14:AW14)*6-'基本数据输入&amp;测算结果'!$C$24*6)/'基本数据输入&amp;测算结果'!$C$21/'基本数据输入&amp;测算结果'!$C$22,"无数据/数据缺失")</f>
        <v>无数据/数据缺失</v>
      </c>
      <c r="CW14" s="42">
        <f>IF(CV14&lt;0,0,IF(CV14="无数据/数据缺失",0%,IF(CV14&gt;'基本数据输入&amp;测算结果'!$C$20*CU14,CU14,CV14/'基本数据输入&amp;测算结果'!$C$20*CU14)))</f>
        <v>0</v>
      </c>
      <c r="CX14" s="42" t="str">
        <f>IFERROR(('基本数据输入&amp;测算结果'!$C$19*2-AVERAGE(AX14:BE14)*2-'基本数据输入&amp;测算结果'!$C$23*2)/'基本数据输入&amp;测算结果'!$C$21*'基本数据输入&amp;测算结果'!$C$22,"无数据/数据缺失")</f>
        <v>无数据/数据缺失</v>
      </c>
      <c r="CY14" s="42">
        <f>IF(CX14&lt;0,0,IF(CX14="无数据/数据缺失",0%,IF(CX14&gt;'基本数据输入&amp;测算结果'!$C$20,100%,CX14/'基本数据输入&amp;测算结果'!$C$20)))</f>
        <v>0</v>
      </c>
      <c r="CZ14" s="42" t="str">
        <f>IFERROR((AVERAGE(BJ14:CO14)*8-'基本数据输入&amp;测算结果'!$C$24*8)/'基本数据输入&amp;测算结果'!$C$21/'基本数据输入&amp;测算结果'!$C$22,"无数据/数据缺失")</f>
        <v>无数据/数据缺失</v>
      </c>
      <c r="DA14" s="42">
        <f>IF(CZ14&lt;0,0,IF(CZ14="无数据/数据缺失",0,IF('基本数据输入&amp;测算结果'!$C$20*CY14&gt;CZ14,CZ14/'基本数据输入&amp;测算结果'!$C$20*CY14,CY14)))</f>
        <v>0</v>
      </c>
      <c r="DB14" s="49">
        <f t="shared" si="4"/>
        <v>0</v>
      </c>
      <c r="DC14" s="50">
        <f>IF(DA14=0,0,IF(AVERAGE(BZ14:CG14)*2&gt;'基本数据输入&amp;测算结果'!$C$20*DA14,100%,AVERAGE(BZ14:CG14)*2/('基本数据输入&amp;测算结果'!$C$20*DA14)))</f>
        <v>0</v>
      </c>
      <c r="DD14" s="50"/>
    </row>
    <row r="15" customHeight="1" spans="1:109">
      <c r="A15" s="48" t="s">
        <v>69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42" t="str">
        <f>IFERROR(('基本数据输入&amp;测算结果'!$C$19*7-AVERAGE(B15:Y15,CP15:CS15)*7-'基本数据输入&amp;测算结果'!$C$23*7)/'基本数据输入&amp;测算结果'!$C$21*'基本数据输入&amp;测算结果'!$C$22,"无数据/数据缺失")</f>
        <v>无数据/数据缺失</v>
      </c>
      <c r="CU15" s="42">
        <f>IF(CT15&lt;0,0,IF(CT15="无数据/数据缺失",0%,IF(CT15&gt;'基本数据输入&amp;测算结果'!$C$20,100%,CT15/'基本数据输入&amp;测算结果'!$C$20)))</f>
        <v>0</v>
      </c>
      <c r="CV15" s="42" t="str">
        <f>IFERROR((AVERAGE(Z15:AW15)*6-'基本数据输入&amp;测算结果'!$C$24*6)/'基本数据输入&amp;测算结果'!$C$21/'基本数据输入&amp;测算结果'!$C$22,"无数据/数据缺失")</f>
        <v>无数据/数据缺失</v>
      </c>
      <c r="CW15" s="42">
        <f>IF(CV15&lt;0,0,IF(CV15="无数据/数据缺失",0%,IF(CV15&gt;'基本数据输入&amp;测算结果'!$C$20*CU15,CU15,CV15/'基本数据输入&amp;测算结果'!$C$20*CU15)))</f>
        <v>0</v>
      </c>
      <c r="CX15" s="42" t="str">
        <f>IFERROR(('基本数据输入&amp;测算结果'!$C$19*2-AVERAGE(AX15:BE15)*2-'基本数据输入&amp;测算结果'!$C$23*2)/'基本数据输入&amp;测算结果'!$C$21*'基本数据输入&amp;测算结果'!$C$22,"无数据/数据缺失")</f>
        <v>无数据/数据缺失</v>
      </c>
      <c r="CY15" s="42">
        <f>IF(CX15&lt;0,0,IF(CX15="无数据/数据缺失",0%,IF(CX15&gt;'基本数据输入&amp;测算结果'!$C$20,100%,CX15/'基本数据输入&amp;测算结果'!$C$20)))</f>
        <v>0</v>
      </c>
      <c r="CZ15" s="42" t="str">
        <f>IFERROR((AVERAGE(BJ15:CO15)*8-'基本数据输入&amp;测算结果'!$C$24*8)/'基本数据输入&amp;测算结果'!$C$21/'基本数据输入&amp;测算结果'!$C$22,"无数据/数据缺失")</f>
        <v>无数据/数据缺失</v>
      </c>
      <c r="DA15" s="42">
        <f>IF(CZ15&lt;0,0,IF(CZ15="无数据/数据缺失",0,IF('基本数据输入&amp;测算结果'!$C$20*CY15&gt;CZ15,CZ15/'基本数据输入&amp;测算结果'!$C$20*CY15,CY15)))</f>
        <v>0</v>
      </c>
      <c r="DB15" s="49">
        <f t="shared" si="4"/>
        <v>0</v>
      </c>
      <c r="DC15" s="50">
        <f>IF(DA15=0,0,IF(AVERAGE(BZ15:CG15)*2&gt;'基本数据输入&amp;测算结果'!$C$20*DA15,100%,AVERAGE(BZ15:CG15)*2/('基本数据输入&amp;测算结果'!$C$20*DA15)))</f>
        <v>0</v>
      </c>
      <c r="DD15" s="50"/>
    </row>
    <row r="16" customHeight="1" spans="1:109">
      <c r="A16" s="48" t="s">
        <v>70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42" t="str">
        <f>IFERROR(('基本数据输入&amp;测算结果'!$C$19*7-AVERAGE(B16:Y16,CP16:CS16)*7-'基本数据输入&amp;测算结果'!$C$23*7)/'基本数据输入&amp;测算结果'!$C$21*'基本数据输入&amp;测算结果'!$C$22,"无数据/数据缺失")</f>
        <v>无数据/数据缺失</v>
      </c>
      <c r="CU16" s="42">
        <f>IF(CT16&lt;0,0,IF(CT16="无数据/数据缺失",0%,IF(CT16&gt;'基本数据输入&amp;测算结果'!$C$20,100%,CT16/'基本数据输入&amp;测算结果'!$C$20)))</f>
        <v>0</v>
      </c>
      <c r="CV16" s="42" t="str">
        <f>IFERROR((AVERAGE(Z16:AW16)*6-'基本数据输入&amp;测算结果'!$C$24*6)/'基本数据输入&amp;测算结果'!$C$21/'基本数据输入&amp;测算结果'!$C$22,"无数据/数据缺失")</f>
        <v>无数据/数据缺失</v>
      </c>
      <c r="CW16" s="42">
        <f>IF(CV16&lt;0,0,IF(CV16="无数据/数据缺失",0%,IF(CV16&gt;'基本数据输入&amp;测算结果'!$C$20*CU16,CU16,CV16/'基本数据输入&amp;测算结果'!$C$20*CU16)))</f>
        <v>0</v>
      </c>
      <c r="CX16" s="42" t="str">
        <f>IFERROR(('基本数据输入&amp;测算结果'!$C$19*2-AVERAGE(AX16:BE16)*2-'基本数据输入&amp;测算结果'!$C$23*2)/'基本数据输入&amp;测算结果'!$C$21*'基本数据输入&amp;测算结果'!$C$22,"无数据/数据缺失")</f>
        <v>无数据/数据缺失</v>
      </c>
      <c r="CY16" s="42">
        <f>IF(CX16&lt;0,0,IF(CX16="无数据/数据缺失",0%,IF(CX16&gt;'基本数据输入&amp;测算结果'!$C$20,100%,CX16/'基本数据输入&amp;测算结果'!$C$20)))</f>
        <v>0</v>
      </c>
      <c r="CZ16" s="42" t="str">
        <f>IFERROR((AVERAGE(BJ16:CO16)*8-'基本数据输入&amp;测算结果'!$C$24*8)/'基本数据输入&amp;测算结果'!$C$21/'基本数据输入&amp;测算结果'!$C$22,"无数据/数据缺失")</f>
        <v>无数据/数据缺失</v>
      </c>
      <c r="DA16" s="42">
        <f>IF(CZ16&lt;0,0,IF(CZ16="无数据/数据缺失",0,IF('基本数据输入&amp;测算结果'!$C$20*CY16&gt;CZ16,CZ16/'基本数据输入&amp;测算结果'!$C$20*CY16,CY16)))</f>
        <v>0</v>
      </c>
      <c r="DB16" s="49">
        <f t="shared" si="4"/>
        <v>0</v>
      </c>
      <c r="DC16" s="50">
        <f>IF(DA16=0,0,IF(AVERAGE(BZ16:CG16)*2&gt;'基本数据输入&amp;测算结果'!$C$20*DA16,100%,AVERAGE(BZ16:CG16)*2/('基本数据输入&amp;测算结果'!$C$20*DA16)))</f>
        <v>0</v>
      </c>
      <c r="DD16" s="50"/>
    </row>
    <row r="17" customHeight="1" spans="1:108">
      <c r="A17" s="48" t="s">
        <v>71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  <c r="CM17" s="51"/>
      <c r="CN17" s="51"/>
      <c r="CO17" s="51"/>
      <c r="CP17" s="51"/>
      <c r="CQ17" s="51"/>
      <c r="CR17" s="51"/>
      <c r="CS17" s="51"/>
      <c r="CT17" s="42" t="str">
        <f>IFERROR(('基本数据输入&amp;测算结果'!$C$19*7-AVERAGE(B17:Y17,CP17:CS17)*7-'基本数据输入&amp;测算结果'!$C$23*7)/'基本数据输入&amp;测算结果'!$C$21*'基本数据输入&amp;测算结果'!$C$22,"无数据/数据缺失")</f>
        <v>无数据/数据缺失</v>
      </c>
      <c r="CU17" s="42">
        <f>IF(CT17&lt;0,0,IF(CT17="无数据/数据缺失",0%,IF(CT17&gt;'基本数据输入&amp;测算结果'!$C$20,100%,CT17/'基本数据输入&amp;测算结果'!$C$20)))</f>
        <v>0</v>
      </c>
      <c r="CV17" s="42" t="str">
        <f>IFERROR((AVERAGE(Z17:AW17)*6-'基本数据输入&amp;测算结果'!$C$24*6)/'基本数据输入&amp;测算结果'!$C$21/'基本数据输入&amp;测算结果'!$C$22,"无数据/数据缺失")</f>
        <v>无数据/数据缺失</v>
      </c>
      <c r="CW17" s="42">
        <f>IF(CV17&lt;0,0,IF(CV17="无数据/数据缺失",0%,IF(CV17&gt;'基本数据输入&amp;测算结果'!$C$20*CU17,CU17,CV17/'基本数据输入&amp;测算结果'!$C$20*CU17)))</f>
        <v>0</v>
      </c>
      <c r="CX17" s="42" t="str">
        <f>IFERROR(('基本数据输入&amp;测算结果'!$C$19*2-AVERAGE(AX17:BE17)*2-'基本数据输入&amp;测算结果'!$C$23*2)/'基本数据输入&amp;测算结果'!$C$21*'基本数据输入&amp;测算结果'!$C$22,"无数据/数据缺失")</f>
        <v>无数据/数据缺失</v>
      </c>
      <c r="CY17" s="42">
        <f>IF(CX17&lt;0,0,IF(CX17="无数据/数据缺失",0%,IF(CX17&gt;'基本数据输入&amp;测算结果'!$C$20,100%,CX17/'基本数据输入&amp;测算结果'!$C$20)))</f>
        <v>0</v>
      </c>
      <c r="CZ17" s="42" t="str">
        <f>IFERROR((AVERAGE(BJ17:CO17)*8-'基本数据输入&amp;测算结果'!$C$24*8)/'基本数据输入&amp;测算结果'!$C$21/'基本数据输入&amp;测算结果'!$C$22,"无数据/数据缺失")</f>
        <v>无数据/数据缺失</v>
      </c>
      <c r="DA17" s="42">
        <f>IF(CZ17&lt;0,0,IF(CZ17="无数据/数据缺失",0,IF('基本数据输入&amp;测算结果'!$C$20*CY17&gt;CZ17,CZ17/'基本数据输入&amp;测算结果'!$C$20*CY17,CY17)))</f>
        <v>0</v>
      </c>
      <c r="DB17" s="49">
        <f t="shared" si="4"/>
        <v>0</v>
      </c>
      <c r="DC17" s="50">
        <f>IF(DA17=0,0,IF(AVERAGE(BZ17:CG17)*2&gt;'基本数据输入&amp;测算结果'!$C$20*DA17,100%,AVERAGE(BZ17:CG17)*2/('基本数据输入&amp;测算结果'!$C$20*DA17)))</f>
        <v>0</v>
      </c>
      <c r="DD17" s="50"/>
    </row>
    <row r="18" customHeight="1" spans="1:108">
      <c r="A18" s="48" t="s">
        <v>72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1"/>
      <c r="CM18" s="51"/>
      <c r="CN18" s="51"/>
      <c r="CO18" s="51"/>
      <c r="CP18" s="51"/>
      <c r="CQ18" s="51"/>
      <c r="CR18" s="51"/>
      <c r="CS18" s="51"/>
      <c r="CT18" s="42" t="str">
        <f>IFERROR(('基本数据输入&amp;测算结果'!$C$19*7-AVERAGE(B18:Y18,CP18:CS18)*7-'基本数据输入&amp;测算结果'!$C$23*7)/'基本数据输入&amp;测算结果'!$C$21*'基本数据输入&amp;测算结果'!$C$22,"无数据/数据缺失")</f>
        <v>无数据/数据缺失</v>
      </c>
      <c r="CU18" s="42">
        <f>IF(CT18&lt;0,0,IF(CT18="无数据/数据缺失",0%,IF(CT18&gt;'基本数据输入&amp;测算结果'!$C$20,100%,CT18/'基本数据输入&amp;测算结果'!$C$20)))</f>
        <v>0</v>
      </c>
      <c r="CV18" s="42" t="str">
        <f>IFERROR((AVERAGE(Z18:AW18)*6-'基本数据输入&amp;测算结果'!$C$24*6)/'基本数据输入&amp;测算结果'!$C$21/'基本数据输入&amp;测算结果'!$C$22,"无数据/数据缺失")</f>
        <v>无数据/数据缺失</v>
      </c>
      <c r="CW18" s="42">
        <f>IF(CV18&lt;0,0,IF(CV18="无数据/数据缺失",0%,IF(CV18&gt;'基本数据输入&amp;测算结果'!$C$20*CU18,CU18,CV18/'基本数据输入&amp;测算结果'!$C$20*CU18)))</f>
        <v>0</v>
      </c>
      <c r="CX18" s="42" t="str">
        <f>IFERROR(('基本数据输入&amp;测算结果'!$C$19*2-AVERAGE(AX18:BE18)*2-'基本数据输入&amp;测算结果'!$C$23*2)/'基本数据输入&amp;测算结果'!$C$21*'基本数据输入&amp;测算结果'!$C$22,"无数据/数据缺失")</f>
        <v>无数据/数据缺失</v>
      </c>
      <c r="CY18" s="42">
        <f>IF(CX18&lt;0,0,IF(CX18="无数据/数据缺失",0%,IF(CX18&gt;'基本数据输入&amp;测算结果'!$C$20,100%,CX18/'基本数据输入&amp;测算结果'!$C$20)))</f>
        <v>0</v>
      </c>
      <c r="CZ18" s="42" t="str">
        <f>IFERROR((AVERAGE(BJ18:CO18)*8-'基本数据输入&amp;测算结果'!$C$24*8)/'基本数据输入&amp;测算结果'!$C$21/'基本数据输入&amp;测算结果'!$C$22,"无数据/数据缺失")</f>
        <v>无数据/数据缺失</v>
      </c>
      <c r="DA18" s="42">
        <f>IF(CZ18&lt;0,0,IF(CZ18="无数据/数据缺失",0,IF('基本数据输入&amp;测算结果'!$C$20*CY18&gt;CZ18,CZ18/'基本数据输入&amp;测算结果'!$C$20*CY18,CY18)))</f>
        <v>0</v>
      </c>
      <c r="DB18" s="49">
        <f t="shared" si="4"/>
        <v>0</v>
      </c>
      <c r="DC18" s="50">
        <f>IF(DA18=0,0,IF(AVERAGE(BZ18:CG18)*2&gt;'基本数据输入&amp;测算结果'!$C$20*DA18,100%,AVERAGE(BZ18:CG18)*2/('基本数据输入&amp;测算结果'!$C$20*DA18)))</f>
        <v>0</v>
      </c>
      <c r="DD18" s="50"/>
    </row>
    <row r="19" customHeight="1" spans="1:108">
      <c r="A19" s="48" t="s">
        <v>73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51"/>
      <c r="CL19" s="51"/>
      <c r="CM19" s="51"/>
      <c r="CN19" s="51"/>
      <c r="CO19" s="51"/>
      <c r="CP19" s="51"/>
      <c r="CQ19" s="51"/>
      <c r="CR19" s="51"/>
      <c r="CS19" s="51"/>
      <c r="CT19" s="42" t="str">
        <f>IFERROR(('基本数据输入&amp;测算结果'!$C$19*7-AVERAGE(B19:Y19,CP19:CS19)*7-'基本数据输入&amp;测算结果'!$C$23*7)/'基本数据输入&amp;测算结果'!$C$21*'基本数据输入&amp;测算结果'!$C$22,"无数据/数据缺失")</f>
        <v>无数据/数据缺失</v>
      </c>
      <c r="CU19" s="42">
        <f>IF(CT19&lt;0,0,IF(CT19="无数据/数据缺失",0%,IF(CT19&gt;'基本数据输入&amp;测算结果'!$C$20,100%,CT19/'基本数据输入&amp;测算结果'!$C$20)))</f>
        <v>0</v>
      </c>
      <c r="CV19" s="42" t="str">
        <f>IFERROR((AVERAGE(Z19:AW19)*6-'基本数据输入&amp;测算结果'!$C$24*6)/'基本数据输入&amp;测算结果'!$C$21/'基本数据输入&amp;测算结果'!$C$22,"无数据/数据缺失")</f>
        <v>无数据/数据缺失</v>
      </c>
      <c r="CW19" s="42">
        <f>IF(CV19&lt;0,0,IF(CV19="无数据/数据缺失",0%,IF(CV19&gt;'基本数据输入&amp;测算结果'!$C$20*CU19,CU19,CV19/'基本数据输入&amp;测算结果'!$C$20*CU19)))</f>
        <v>0</v>
      </c>
      <c r="CX19" s="42" t="str">
        <f>IFERROR(('基本数据输入&amp;测算结果'!$C$19*2-AVERAGE(AX19:BE19)*2-'基本数据输入&amp;测算结果'!$C$23*2)/'基本数据输入&amp;测算结果'!$C$21*'基本数据输入&amp;测算结果'!$C$22,"无数据/数据缺失")</f>
        <v>无数据/数据缺失</v>
      </c>
      <c r="CY19" s="42">
        <f>IF(CX19&lt;0,0,IF(CX19="无数据/数据缺失",0%,IF(CX19&gt;'基本数据输入&amp;测算结果'!$C$20,100%,CX19/'基本数据输入&amp;测算结果'!$C$20)))</f>
        <v>0</v>
      </c>
      <c r="CZ19" s="42" t="str">
        <f>IFERROR((AVERAGE(BJ19:CO19)*8-'基本数据输入&amp;测算结果'!$C$24*8)/'基本数据输入&amp;测算结果'!$C$21/'基本数据输入&amp;测算结果'!$C$22,"无数据/数据缺失")</f>
        <v>无数据/数据缺失</v>
      </c>
      <c r="DA19" s="42">
        <f>IF(CZ19&lt;0,0,IF(CZ19="无数据/数据缺失",0,IF('基本数据输入&amp;测算结果'!$C$20*CY19&gt;CZ19,CZ19/'基本数据输入&amp;测算结果'!$C$20*CY19,CY19)))</f>
        <v>0</v>
      </c>
      <c r="DB19" s="49">
        <f t="shared" si="4"/>
        <v>0</v>
      </c>
      <c r="DC19" s="50">
        <f>IF(DA19=0,0,IF(AVERAGE(BZ19:CG19)*2&gt;'基本数据输入&amp;测算结果'!$C$20*DA19,100%,AVERAGE(BZ19:CG19)*2/('基本数据输入&amp;测算结果'!$C$20*DA19)))</f>
        <v>0</v>
      </c>
      <c r="DD19" s="50"/>
    </row>
    <row r="20" customHeight="1" spans="1:108">
      <c r="A20" s="48" t="s">
        <v>74</v>
      </c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  <c r="BQ20" s="51"/>
      <c r="BR20" s="51"/>
      <c r="BS20" s="51"/>
      <c r="BT20" s="51"/>
      <c r="BU20" s="51"/>
      <c r="BV20" s="51"/>
      <c r="BW20" s="51"/>
      <c r="BX20" s="51"/>
      <c r="BY20" s="51"/>
      <c r="BZ20" s="51"/>
      <c r="CA20" s="51"/>
      <c r="CB20" s="51"/>
      <c r="CC20" s="51"/>
      <c r="CD20" s="51"/>
      <c r="CE20" s="51"/>
      <c r="CF20" s="51"/>
      <c r="CG20" s="51"/>
      <c r="CH20" s="51"/>
      <c r="CI20" s="51"/>
      <c r="CJ20" s="51"/>
      <c r="CK20" s="51"/>
      <c r="CL20" s="51"/>
      <c r="CM20" s="51"/>
      <c r="CN20" s="51"/>
      <c r="CO20" s="51"/>
      <c r="CP20" s="51"/>
      <c r="CQ20" s="51"/>
      <c r="CR20" s="51"/>
      <c r="CS20" s="51"/>
      <c r="CT20" s="42" t="str">
        <f>IFERROR(('基本数据输入&amp;测算结果'!$C$19*7-AVERAGE(B20:Y20,CP20:CS20)*7-'基本数据输入&amp;测算结果'!$C$23*7)/'基本数据输入&amp;测算结果'!$C$21*'基本数据输入&amp;测算结果'!$C$22,"无数据/数据缺失")</f>
        <v>无数据/数据缺失</v>
      </c>
      <c r="CU20" s="42">
        <f>IF(CT20&lt;0,0,IF(CT20="无数据/数据缺失",0%,IF(CT20&gt;'基本数据输入&amp;测算结果'!$C$20,100%,CT20/'基本数据输入&amp;测算结果'!$C$20)))</f>
        <v>0</v>
      </c>
      <c r="CV20" s="42" t="str">
        <f>IFERROR((AVERAGE(Z20:AW20)*6-'基本数据输入&amp;测算结果'!$C$24*6)/'基本数据输入&amp;测算结果'!$C$21/'基本数据输入&amp;测算结果'!$C$22,"无数据/数据缺失")</f>
        <v>无数据/数据缺失</v>
      </c>
      <c r="CW20" s="42">
        <f>IF(CV20&lt;0,0,IF(CV20="无数据/数据缺失",0%,IF(CV20&gt;'基本数据输入&amp;测算结果'!$C$20*CU20,CU20,CV20/'基本数据输入&amp;测算结果'!$C$20*CU20)))</f>
        <v>0</v>
      </c>
      <c r="CX20" s="42" t="str">
        <f>IFERROR(('基本数据输入&amp;测算结果'!$C$19*2-AVERAGE(AX20:BE20)*2-'基本数据输入&amp;测算结果'!$C$23*2)/'基本数据输入&amp;测算结果'!$C$21*'基本数据输入&amp;测算结果'!$C$22,"无数据/数据缺失")</f>
        <v>无数据/数据缺失</v>
      </c>
      <c r="CY20" s="42">
        <f>IF(CX20&lt;0,0,IF(CX20="无数据/数据缺失",0%,IF(CX20&gt;'基本数据输入&amp;测算结果'!$C$20,100%,CX20/'基本数据输入&amp;测算结果'!$C$20)))</f>
        <v>0</v>
      </c>
      <c r="CZ20" s="42" t="str">
        <f>IFERROR((AVERAGE(BJ20:CO20)*8-'基本数据输入&amp;测算结果'!$C$24*8)/'基本数据输入&amp;测算结果'!$C$21/'基本数据输入&amp;测算结果'!$C$22,"无数据/数据缺失")</f>
        <v>无数据/数据缺失</v>
      </c>
      <c r="DA20" s="42">
        <f>IF(CZ20&lt;0,0,IF(CZ20="无数据/数据缺失",0,IF('基本数据输入&amp;测算结果'!$C$20*CY20&gt;CZ20,CZ20/'基本数据输入&amp;测算结果'!$C$20*CY20,CY20)))</f>
        <v>0</v>
      </c>
      <c r="DB20" s="49">
        <f t="shared" si="4"/>
        <v>0</v>
      </c>
      <c r="DC20" s="50">
        <f>IF(DA20=0,0,IF(AVERAGE(BZ20:CG20)*2&gt;'基本数据输入&amp;测算结果'!$C$20*DA20,100%,AVERAGE(BZ20:CG20)*2/('基本数据输入&amp;测算结果'!$C$20*DA20)))</f>
        <v>0</v>
      </c>
      <c r="DD20" s="50"/>
    </row>
    <row r="21" customHeight="1" spans="1:108">
      <c r="A21" s="48" t="s">
        <v>75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1"/>
      <c r="CH21" s="51"/>
      <c r="CI21" s="51"/>
      <c r="CJ21" s="51"/>
      <c r="CK21" s="51"/>
      <c r="CL21" s="51"/>
      <c r="CM21" s="51"/>
      <c r="CN21" s="51"/>
      <c r="CO21" s="51"/>
      <c r="CP21" s="51"/>
      <c r="CQ21" s="51"/>
      <c r="CR21" s="51"/>
      <c r="CS21" s="51"/>
      <c r="CT21" s="42" t="str">
        <f>IFERROR(('基本数据输入&amp;测算结果'!$C$19*7-AVERAGE(B21:Y21,CP21:CS21)*7-'基本数据输入&amp;测算结果'!$C$23*7)/'基本数据输入&amp;测算结果'!$C$21*'基本数据输入&amp;测算结果'!$C$22,"无数据/数据缺失")</f>
        <v>无数据/数据缺失</v>
      </c>
      <c r="CU21" s="42">
        <f>IF(CT21&lt;0,0,IF(CT21="无数据/数据缺失",0%,IF(CT21&gt;'基本数据输入&amp;测算结果'!$C$20,100%,CT21/'基本数据输入&amp;测算结果'!$C$20)))</f>
        <v>0</v>
      </c>
      <c r="CV21" s="42" t="str">
        <f>IFERROR((AVERAGE(Z21:AW21)*6-'基本数据输入&amp;测算结果'!$C$24*6)/'基本数据输入&amp;测算结果'!$C$21/'基本数据输入&amp;测算结果'!$C$22,"无数据/数据缺失")</f>
        <v>无数据/数据缺失</v>
      </c>
      <c r="CW21" s="42">
        <f>IF(CV21&lt;0,0,IF(CV21="无数据/数据缺失",0%,IF(CV21&gt;'基本数据输入&amp;测算结果'!$C$20*CU21,CU21,CV21/'基本数据输入&amp;测算结果'!$C$20*CU21)))</f>
        <v>0</v>
      </c>
      <c r="CX21" s="42" t="str">
        <f>IFERROR(('基本数据输入&amp;测算结果'!$C$19*2-AVERAGE(AX21:BE21)*2-'基本数据输入&amp;测算结果'!$C$23*2)/'基本数据输入&amp;测算结果'!$C$21*'基本数据输入&amp;测算结果'!$C$22,"无数据/数据缺失")</f>
        <v>无数据/数据缺失</v>
      </c>
      <c r="CY21" s="42">
        <f>IF(CX21&lt;0,0,IF(CX21="无数据/数据缺失",0%,IF(CX21&gt;'基本数据输入&amp;测算结果'!$C$20,100%,CX21/'基本数据输入&amp;测算结果'!$C$20)))</f>
        <v>0</v>
      </c>
      <c r="CZ21" s="42" t="str">
        <f>IFERROR((AVERAGE(BJ21:CO21)*8-'基本数据输入&amp;测算结果'!$C$24*8)/'基本数据输入&amp;测算结果'!$C$21/'基本数据输入&amp;测算结果'!$C$22,"无数据/数据缺失")</f>
        <v>无数据/数据缺失</v>
      </c>
      <c r="DA21" s="42">
        <f>IF(CZ21&lt;0,0,IF(CZ21="无数据/数据缺失",0,IF('基本数据输入&amp;测算结果'!$C$20*CY21&gt;CZ21,CZ21/'基本数据输入&amp;测算结果'!$C$20*CY21,CY21)))</f>
        <v>0</v>
      </c>
      <c r="DB21" s="49">
        <f t="shared" si="4"/>
        <v>0</v>
      </c>
      <c r="DC21" s="50">
        <f>IF(DA21=0,0,IF(AVERAGE(BZ21:CG21)*2&gt;'基本数据输入&amp;测算结果'!$C$20*DA21,100%,AVERAGE(BZ21:CG21)*2/('基本数据输入&amp;测算结果'!$C$20*DA21)))</f>
        <v>0</v>
      </c>
      <c r="DD21" s="50"/>
    </row>
    <row r="22" customHeight="1" spans="1:108">
      <c r="A22" s="48" t="s">
        <v>76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51"/>
      <c r="CM22" s="51"/>
      <c r="CN22" s="51"/>
      <c r="CO22" s="51"/>
      <c r="CP22" s="51"/>
      <c r="CQ22" s="51"/>
      <c r="CR22" s="51"/>
      <c r="CS22" s="51"/>
      <c r="CT22" s="42" t="str">
        <f>IFERROR(('基本数据输入&amp;测算结果'!$C$19*7-AVERAGE(B22:Y22,CP22:CS22)*7-'基本数据输入&amp;测算结果'!$C$23*7)/'基本数据输入&amp;测算结果'!$C$21*'基本数据输入&amp;测算结果'!$C$22,"无数据/数据缺失")</f>
        <v>无数据/数据缺失</v>
      </c>
      <c r="CU22" s="42">
        <f>IF(CT22&lt;0,0,IF(CT22="无数据/数据缺失",0%,IF(CT22&gt;'基本数据输入&amp;测算结果'!$C$20,100%,CT22/'基本数据输入&amp;测算结果'!$C$20)))</f>
        <v>0</v>
      </c>
      <c r="CV22" s="42" t="str">
        <f>IFERROR((AVERAGE(Z22:AW22)*6-'基本数据输入&amp;测算结果'!$C$24*6)/'基本数据输入&amp;测算结果'!$C$21/'基本数据输入&amp;测算结果'!$C$22,"无数据/数据缺失")</f>
        <v>无数据/数据缺失</v>
      </c>
      <c r="CW22" s="42">
        <f>IF(CV22&lt;0,0,IF(CV22="无数据/数据缺失",0%,IF(CV22&gt;'基本数据输入&amp;测算结果'!$C$20*CU22,CU22,CV22/'基本数据输入&amp;测算结果'!$C$20*CU22)))</f>
        <v>0</v>
      </c>
      <c r="CX22" s="42" t="str">
        <f>IFERROR(('基本数据输入&amp;测算结果'!$C$19*2-AVERAGE(AX22:BE22)*2-'基本数据输入&amp;测算结果'!$C$23*2)/'基本数据输入&amp;测算结果'!$C$21*'基本数据输入&amp;测算结果'!$C$22,"无数据/数据缺失")</f>
        <v>无数据/数据缺失</v>
      </c>
      <c r="CY22" s="42">
        <f>IF(CX22&lt;0,0,IF(CX22="无数据/数据缺失",0%,IF(CX22&gt;'基本数据输入&amp;测算结果'!$C$20,100%,CX22/'基本数据输入&amp;测算结果'!$C$20)))</f>
        <v>0</v>
      </c>
      <c r="CZ22" s="42" t="str">
        <f>IFERROR((AVERAGE(BJ22:CO22)*8-'基本数据输入&amp;测算结果'!$C$24*8)/'基本数据输入&amp;测算结果'!$C$21/'基本数据输入&amp;测算结果'!$C$22,"无数据/数据缺失")</f>
        <v>无数据/数据缺失</v>
      </c>
      <c r="DA22" s="42">
        <f>IF(CZ22&lt;0,0,IF(CZ22="无数据/数据缺失",0,IF('基本数据输入&amp;测算结果'!$C$20*CY22&gt;CZ22,CZ22/'基本数据输入&amp;测算结果'!$C$20*CY22,CY22)))</f>
        <v>0</v>
      </c>
      <c r="DB22" s="49">
        <f t="shared" si="4"/>
        <v>0</v>
      </c>
      <c r="DC22" s="50">
        <f>IF(DA22=0,0,IF(AVERAGE(BZ22:CG22)*2&gt;'基本数据输入&amp;测算结果'!$C$20*DA22,100%,AVERAGE(BZ22:CG22)*2/('基本数据输入&amp;测算结果'!$C$20*DA22)))</f>
        <v>0</v>
      </c>
      <c r="DD22" s="50"/>
    </row>
    <row r="23" customHeight="1" spans="1:108">
      <c r="A23" s="48" t="s">
        <v>77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42" t="str">
        <f>IFERROR(('基本数据输入&amp;测算结果'!$C$19*7-AVERAGE(B23:Y23,CP23:CS23)*7-'基本数据输入&amp;测算结果'!$C$23*7)/'基本数据输入&amp;测算结果'!$C$21*'基本数据输入&amp;测算结果'!$C$22,"无数据/数据缺失")</f>
        <v>无数据/数据缺失</v>
      </c>
      <c r="CU23" s="42">
        <f>IF(CT23&lt;0,0,IF(CT23="无数据/数据缺失",0%,IF(CT23&gt;'基本数据输入&amp;测算结果'!$C$20,100%,CT23/'基本数据输入&amp;测算结果'!$C$20)))</f>
        <v>0</v>
      </c>
      <c r="CV23" s="42" t="str">
        <f>IFERROR((AVERAGE(Z23:AW23)*6-'基本数据输入&amp;测算结果'!$C$24*6)/'基本数据输入&amp;测算结果'!$C$21/'基本数据输入&amp;测算结果'!$C$22,"无数据/数据缺失")</f>
        <v>无数据/数据缺失</v>
      </c>
      <c r="CW23" s="42">
        <f>IF(CV23&lt;0,0,IF(CV23="无数据/数据缺失",0%,IF(CV23&gt;'基本数据输入&amp;测算结果'!$C$20*CU23,CU23,CV23/'基本数据输入&amp;测算结果'!$C$20*CU23)))</f>
        <v>0</v>
      </c>
      <c r="CX23" s="42" t="str">
        <f>IFERROR(('基本数据输入&amp;测算结果'!$C$19*2-AVERAGE(AX23:BE23)*2-'基本数据输入&amp;测算结果'!$C$23*2)/'基本数据输入&amp;测算结果'!$C$21*'基本数据输入&amp;测算结果'!$C$22,"无数据/数据缺失")</f>
        <v>无数据/数据缺失</v>
      </c>
      <c r="CY23" s="42">
        <f>IF(CX23&lt;0,0,IF(CX23="无数据/数据缺失",0%,IF(CX23&gt;'基本数据输入&amp;测算结果'!$C$20,100%,CX23/'基本数据输入&amp;测算结果'!$C$20)))</f>
        <v>0</v>
      </c>
      <c r="CZ23" s="42" t="str">
        <f>IFERROR((AVERAGE(BJ23:CO23)*8-'基本数据输入&amp;测算结果'!$C$24*8)/'基本数据输入&amp;测算结果'!$C$21/'基本数据输入&amp;测算结果'!$C$22,"无数据/数据缺失")</f>
        <v>无数据/数据缺失</v>
      </c>
      <c r="DA23" s="42">
        <f>IF(CZ23&lt;0,0,IF(CZ23="无数据/数据缺失",0,IF('基本数据输入&amp;测算结果'!$C$20*CY23&gt;CZ23,CZ23/'基本数据输入&amp;测算结果'!$C$20*CY23,CY23)))</f>
        <v>0</v>
      </c>
      <c r="DB23" s="49">
        <f t="shared" si="4"/>
        <v>0</v>
      </c>
      <c r="DC23" s="50">
        <f>IF(DA23=0,0,IF(AVERAGE(BZ23:CG23)*2&gt;'基本数据输入&amp;测算结果'!$C$20*DA23,100%,AVERAGE(BZ23:CG23)*2/('基本数据输入&amp;测算结果'!$C$20*DA23)))</f>
        <v>0</v>
      </c>
      <c r="DD23" s="50"/>
    </row>
    <row r="24" customHeight="1" spans="1:108">
      <c r="A24" s="48" t="s">
        <v>78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51"/>
      <c r="CG24" s="51"/>
      <c r="CH24" s="51"/>
      <c r="CI24" s="51"/>
      <c r="CJ24" s="51"/>
      <c r="CK24" s="51"/>
      <c r="CL24" s="51"/>
      <c r="CM24" s="51"/>
      <c r="CN24" s="51"/>
      <c r="CO24" s="51"/>
      <c r="CP24" s="51"/>
      <c r="CQ24" s="51"/>
      <c r="CR24" s="51"/>
      <c r="CS24" s="51"/>
      <c r="CT24" s="42" t="str">
        <f>IFERROR(('基本数据输入&amp;测算结果'!$C$19*7-AVERAGE(B24:Y24,CP24:CS24)*7-'基本数据输入&amp;测算结果'!$C$23*7)/'基本数据输入&amp;测算结果'!$C$21*'基本数据输入&amp;测算结果'!$C$22,"无数据/数据缺失")</f>
        <v>无数据/数据缺失</v>
      </c>
      <c r="CU24" s="42">
        <f>IF(CT24&lt;0,0,IF(CT24="无数据/数据缺失",0%,IF(CT24&gt;'基本数据输入&amp;测算结果'!$C$20,100%,CT24/'基本数据输入&amp;测算结果'!$C$20)))</f>
        <v>0</v>
      </c>
      <c r="CV24" s="42" t="str">
        <f>IFERROR((AVERAGE(Z24:AW24)*6-'基本数据输入&amp;测算结果'!$C$24*6)/'基本数据输入&amp;测算结果'!$C$21/'基本数据输入&amp;测算结果'!$C$22,"无数据/数据缺失")</f>
        <v>无数据/数据缺失</v>
      </c>
      <c r="CW24" s="42">
        <f>IF(CV24&lt;0,0,IF(CV24="无数据/数据缺失",0%,IF(CV24&gt;'基本数据输入&amp;测算结果'!$C$20*CU24,CU24,CV24/'基本数据输入&amp;测算结果'!$C$20*CU24)))</f>
        <v>0</v>
      </c>
      <c r="CX24" s="42" t="str">
        <f>IFERROR(('基本数据输入&amp;测算结果'!$C$19*2-AVERAGE(AX24:BE24)*2-'基本数据输入&amp;测算结果'!$C$23*2)/'基本数据输入&amp;测算结果'!$C$21*'基本数据输入&amp;测算结果'!$C$22,"无数据/数据缺失")</f>
        <v>无数据/数据缺失</v>
      </c>
      <c r="CY24" s="42">
        <f>IF(CX24&lt;0,0,IF(CX24="无数据/数据缺失",0%,IF(CX24&gt;'基本数据输入&amp;测算结果'!$C$20,100%,CX24/'基本数据输入&amp;测算结果'!$C$20)))</f>
        <v>0</v>
      </c>
      <c r="CZ24" s="42" t="str">
        <f>IFERROR((AVERAGE(BJ24:CO24)*8-'基本数据输入&amp;测算结果'!$C$24*8)/'基本数据输入&amp;测算结果'!$C$21/'基本数据输入&amp;测算结果'!$C$22,"无数据/数据缺失")</f>
        <v>无数据/数据缺失</v>
      </c>
      <c r="DA24" s="42">
        <f>IF(CZ24&lt;0,0,IF(CZ24="无数据/数据缺失",0,IF('基本数据输入&amp;测算结果'!$C$20*CY24&gt;CZ24,CZ24/'基本数据输入&amp;测算结果'!$C$20*CY24,CY24)))</f>
        <v>0</v>
      </c>
      <c r="DB24" s="49">
        <f t="shared" si="4"/>
        <v>0</v>
      </c>
      <c r="DC24" s="50">
        <f>IF(DA24=0,0,IF(AVERAGE(BZ24:CG24)*2&gt;'基本数据输入&amp;测算结果'!$C$20*DA24,100%,AVERAGE(BZ24:CG24)*2/('基本数据输入&amp;测算结果'!$C$20*DA24)))</f>
        <v>0</v>
      </c>
      <c r="DD24" s="50"/>
    </row>
    <row r="25" customHeight="1" spans="1:108">
      <c r="A25" s="48" t="s">
        <v>79</v>
      </c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M25" s="51"/>
      <c r="CN25" s="51"/>
      <c r="CO25" s="51"/>
      <c r="CP25" s="51"/>
      <c r="CQ25" s="51"/>
      <c r="CR25" s="51"/>
      <c r="CS25" s="51"/>
      <c r="CT25" s="42" t="str">
        <f>IFERROR(('基本数据输入&amp;测算结果'!$C$19*7-AVERAGE(B25:Y25,CP25:CS25)*7-'基本数据输入&amp;测算结果'!$C$23*7)/'基本数据输入&amp;测算结果'!$C$21*'基本数据输入&amp;测算结果'!$C$22,"无数据/数据缺失")</f>
        <v>无数据/数据缺失</v>
      </c>
      <c r="CU25" s="42">
        <f>IF(CT25&lt;0,0,IF(CT25="无数据/数据缺失",0%,IF(CT25&gt;'基本数据输入&amp;测算结果'!$C$20,100%,CT25/'基本数据输入&amp;测算结果'!$C$20)))</f>
        <v>0</v>
      </c>
      <c r="CV25" s="42" t="str">
        <f>IFERROR((AVERAGE(Z25:AW25)*6-'基本数据输入&amp;测算结果'!$C$24*6)/'基本数据输入&amp;测算结果'!$C$21/'基本数据输入&amp;测算结果'!$C$22,"无数据/数据缺失")</f>
        <v>无数据/数据缺失</v>
      </c>
      <c r="CW25" s="42">
        <f>IF(CV25&lt;0,0,IF(CV25="无数据/数据缺失",0%,IF(CV25&gt;'基本数据输入&amp;测算结果'!$C$20*CU25,CU25,CV25/'基本数据输入&amp;测算结果'!$C$20*CU25)))</f>
        <v>0</v>
      </c>
      <c r="CX25" s="42" t="str">
        <f>IFERROR(('基本数据输入&amp;测算结果'!$C$19*2-AVERAGE(AX25:BE25)*2-'基本数据输入&amp;测算结果'!$C$23*2)/'基本数据输入&amp;测算结果'!$C$21*'基本数据输入&amp;测算结果'!$C$22,"无数据/数据缺失")</f>
        <v>无数据/数据缺失</v>
      </c>
      <c r="CY25" s="42">
        <f>IF(CX25&lt;0,0,IF(CX25="无数据/数据缺失",0%,IF(CX25&gt;'基本数据输入&amp;测算结果'!$C$20,100%,CX25/'基本数据输入&amp;测算结果'!$C$20)))</f>
        <v>0</v>
      </c>
      <c r="CZ25" s="42" t="str">
        <f>IFERROR((AVERAGE(BJ25:CO25)*8-'基本数据输入&amp;测算结果'!$C$24*8)/'基本数据输入&amp;测算结果'!$C$21/'基本数据输入&amp;测算结果'!$C$22,"无数据/数据缺失")</f>
        <v>无数据/数据缺失</v>
      </c>
      <c r="DA25" s="42">
        <f>IF(CZ25&lt;0,0,IF(CZ25="无数据/数据缺失",0,IF('基本数据输入&amp;测算结果'!$C$20*CY25&gt;CZ25,CZ25/'基本数据输入&amp;测算结果'!$C$20*CY25,CY25)))</f>
        <v>0</v>
      </c>
      <c r="DB25" s="49">
        <f t="shared" si="4"/>
        <v>0</v>
      </c>
      <c r="DC25" s="50">
        <f>IF(DA25=0,0,IF(AVERAGE(BZ25:CG25)*2&gt;'基本数据输入&amp;测算结果'!$C$20*DA25,100%,AVERAGE(BZ25:CG25)*2/('基本数据输入&amp;测算结果'!$C$20*DA25)))</f>
        <v>0</v>
      </c>
      <c r="DD25" s="50"/>
    </row>
    <row r="26" customHeight="1" spans="1:108">
      <c r="A26" s="48" t="s">
        <v>80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  <c r="CM26" s="51"/>
      <c r="CN26" s="51"/>
      <c r="CO26" s="51"/>
      <c r="CP26" s="51"/>
      <c r="CQ26" s="51"/>
      <c r="CR26" s="51"/>
      <c r="CS26" s="51"/>
      <c r="CT26" s="42" t="str">
        <f>IFERROR(('基本数据输入&amp;测算结果'!$C$19*7-AVERAGE(B26:Y26,CP26:CS26)*7-'基本数据输入&amp;测算结果'!$C$23*7)/'基本数据输入&amp;测算结果'!$C$21*'基本数据输入&amp;测算结果'!$C$22,"无数据/数据缺失")</f>
        <v>无数据/数据缺失</v>
      </c>
      <c r="CU26" s="42">
        <f>IF(CT26&lt;0,0,IF(CT26="无数据/数据缺失",0%,IF(CT26&gt;'基本数据输入&amp;测算结果'!$C$20,100%,CT26/'基本数据输入&amp;测算结果'!$C$20)))</f>
        <v>0</v>
      </c>
      <c r="CV26" s="42" t="str">
        <f>IFERROR((AVERAGE(Z26:AW26)*6-'基本数据输入&amp;测算结果'!$C$24*6)/'基本数据输入&amp;测算结果'!$C$21/'基本数据输入&amp;测算结果'!$C$22,"无数据/数据缺失")</f>
        <v>无数据/数据缺失</v>
      </c>
      <c r="CW26" s="42">
        <f>IF(CV26&lt;0,0,IF(CV26="无数据/数据缺失",0%,IF(CV26&gt;'基本数据输入&amp;测算结果'!$C$20*CU26,CU26,CV26/'基本数据输入&amp;测算结果'!$C$20*CU26)))</f>
        <v>0</v>
      </c>
      <c r="CX26" s="42" t="str">
        <f>IFERROR(('基本数据输入&amp;测算结果'!$C$19*2-AVERAGE(AX26:BE26)*2-'基本数据输入&amp;测算结果'!$C$23*2)/'基本数据输入&amp;测算结果'!$C$21*'基本数据输入&amp;测算结果'!$C$22,"无数据/数据缺失")</f>
        <v>无数据/数据缺失</v>
      </c>
      <c r="CY26" s="42">
        <f>IF(CX26&lt;0,0,IF(CX26="无数据/数据缺失",0%,IF(CX26&gt;'基本数据输入&amp;测算结果'!$C$20,100%,CX26/'基本数据输入&amp;测算结果'!$C$20)))</f>
        <v>0</v>
      </c>
      <c r="CZ26" s="42" t="str">
        <f>IFERROR((AVERAGE(BJ26:CO26)*8-'基本数据输入&amp;测算结果'!$C$24*8)/'基本数据输入&amp;测算结果'!$C$21/'基本数据输入&amp;测算结果'!$C$22,"无数据/数据缺失")</f>
        <v>无数据/数据缺失</v>
      </c>
      <c r="DA26" s="42">
        <f>IF(CZ26&lt;0,0,IF(CZ26="无数据/数据缺失",0,IF('基本数据输入&amp;测算结果'!$C$20*CY26&gt;CZ26,CZ26/'基本数据输入&amp;测算结果'!$C$20*CY26,CY26)))</f>
        <v>0</v>
      </c>
      <c r="DB26" s="49">
        <f t="shared" si="4"/>
        <v>0</v>
      </c>
      <c r="DC26" s="50">
        <f>IF(DA26=0,0,IF(AVERAGE(BZ26:CG26)*2&gt;'基本数据输入&amp;测算结果'!$C$20*DA26,100%,AVERAGE(BZ26:CG26)*2/('基本数据输入&amp;测算结果'!$C$20*DA26)))</f>
        <v>0</v>
      </c>
      <c r="DD26" s="50"/>
    </row>
    <row r="27" customHeight="1" spans="1:108">
      <c r="A27" s="48" t="s">
        <v>81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42" t="str">
        <f>IFERROR(('基本数据输入&amp;测算结果'!$C$19*7-AVERAGE(B27:Y27,CP27:CS27)*7-'基本数据输入&amp;测算结果'!$C$23*7)/'基本数据输入&amp;测算结果'!$C$21*'基本数据输入&amp;测算结果'!$C$22,"无数据/数据缺失")</f>
        <v>无数据/数据缺失</v>
      </c>
      <c r="CU27" s="42">
        <f>IF(CT27&lt;0,0,IF(CT27="无数据/数据缺失",0%,IF(CT27&gt;'基本数据输入&amp;测算结果'!$C$20,100%,CT27/'基本数据输入&amp;测算结果'!$C$20)))</f>
        <v>0</v>
      </c>
      <c r="CV27" s="42" t="str">
        <f>IFERROR((AVERAGE(Z27:AW27)*6-'基本数据输入&amp;测算结果'!$C$24*6)/'基本数据输入&amp;测算结果'!$C$21/'基本数据输入&amp;测算结果'!$C$22,"无数据/数据缺失")</f>
        <v>无数据/数据缺失</v>
      </c>
      <c r="CW27" s="42">
        <f>IF(CV27&lt;0,0,IF(CV27="无数据/数据缺失",0%,IF(CV27&gt;'基本数据输入&amp;测算结果'!$C$20*CU27,CU27,CV27/'基本数据输入&amp;测算结果'!$C$20*CU27)))</f>
        <v>0</v>
      </c>
      <c r="CX27" s="42" t="str">
        <f>IFERROR(('基本数据输入&amp;测算结果'!$C$19*2-AVERAGE(AX27:BE27)*2-'基本数据输入&amp;测算结果'!$C$23*2)/'基本数据输入&amp;测算结果'!$C$21*'基本数据输入&amp;测算结果'!$C$22,"无数据/数据缺失")</f>
        <v>无数据/数据缺失</v>
      </c>
      <c r="CY27" s="42">
        <f>IF(CX27&lt;0,0,IF(CX27="无数据/数据缺失",0%,IF(CX27&gt;'基本数据输入&amp;测算结果'!$C$20,100%,CX27/'基本数据输入&amp;测算结果'!$C$20)))</f>
        <v>0</v>
      </c>
      <c r="CZ27" s="42" t="str">
        <f>IFERROR((AVERAGE(BJ27:CO27)*8-'基本数据输入&amp;测算结果'!$C$24*8)/'基本数据输入&amp;测算结果'!$C$21/'基本数据输入&amp;测算结果'!$C$22,"无数据/数据缺失")</f>
        <v>无数据/数据缺失</v>
      </c>
      <c r="DA27" s="42">
        <f>IF(CZ27&lt;0,0,IF(CZ27="无数据/数据缺失",0,IF('基本数据输入&amp;测算结果'!$C$20*CY27&gt;CZ27,CZ27/'基本数据输入&amp;测算结果'!$C$20*CY27,CY27)))</f>
        <v>0</v>
      </c>
      <c r="DB27" s="49">
        <f t="shared" si="4"/>
        <v>0</v>
      </c>
      <c r="DC27" s="50">
        <f>IF(DA27=0,0,IF(AVERAGE(BZ27:CG27)*2&gt;'基本数据输入&amp;测算结果'!$C$20*DA27,100%,AVERAGE(BZ27:CG27)*2/('基本数据输入&amp;测算结果'!$C$20*DA27)))</f>
        <v>0</v>
      </c>
      <c r="DD27" s="50"/>
    </row>
    <row r="28" customHeight="1" spans="1:108">
      <c r="A28" s="48" t="s">
        <v>82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42" t="str">
        <f>IFERROR(('基本数据输入&amp;测算结果'!$C$19*7-AVERAGE(B28:Y28,CP28:CS28)*7-'基本数据输入&amp;测算结果'!$C$23*7)/'基本数据输入&amp;测算结果'!$C$21*'基本数据输入&amp;测算结果'!$C$22,"无数据/数据缺失")</f>
        <v>无数据/数据缺失</v>
      </c>
      <c r="CU28" s="42">
        <f>IF(CT28&lt;0,0,IF(CT28="无数据/数据缺失",0%,IF(CT28&gt;'基本数据输入&amp;测算结果'!$C$20,100%,CT28/'基本数据输入&amp;测算结果'!$C$20)))</f>
        <v>0</v>
      </c>
      <c r="CV28" s="42" t="str">
        <f>IFERROR((AVERAGE(Z28:AW28)*6-'基本数据输入&amp;测算结果'!$C$24*6)/'基本数据输入&amp;测算结果'!$C$21/'基本数据输入&amp;测算结果'!$C$22,"无数据/数据缺失")</f>
        <v>无数据/数据缺失</v>
      </c>
      <c r="CW28" s="42">
        <f>IF(CV28&lt;0,0,IF(CV28="无数据/数据缺失",0%,IF(CV28&gt;'基本数据输入&amp;测算结果'!$C$20*CU28,CU28,CV28/'基本数据输入&amp;测算结果'!$C$20*CU28)))</f>
        <v>0</v>
      </c>
      <c r="CX28" s="42" t="str">
        <f>IFERROR(('基本数据输入&amp;测算结果'!$C$19*2-AVERAGE(AX28:BE28)*2-'基本数据输入&amp;测算结果'!$C$23*2)/'基本数据输入&amp;测算结果'!$C$21*'基本数据输入&amp;测算结果'!$C$22,"无数据/数据缺失")</f>
        <v>无数据/数据缺失</v>
      </c>
      <c r="CY28" s="42">
        <f>IF(CX28&lt;0,0,IF(CX28="无数据/数据缺失",0%,IF(CX28&gt;'基本数据输入&amp;测算结果'!$C$20,100%,CX28/'基本数据输入&amp;测算结果'!$C$20)))</f>
        <v>0</v>
      </c>
      <c r="CZ28" s="42" t="str">
        <f>IFERROR((AVERAGE(BJ28:CO28)*8-'基本数据输入&amp;测算结果'!$C$24*8)/'基本数据输入&amp;测算结果'!$C$21/'基本数据输入&amp;测算结果'!$C$22,"无数据/数据缺失")</f>
        <v>无数据/数据缺失</v>
      </c>
      <c r="DA28" s="42">
        <f>IF(CZ28&lt;0,0,IF(CZ28="无数据/数据缺失",0,IF('基本数据输入&amp;测算结果'!$C$20*CY28&gt;CZ28,CZ28/'基本数据输入&amp;测算结果'!$C$20*CY28,CY28)))</f>
        <v>0</v>
      </c>
      <c r="DB28" s="49">
        <f t="shared" si="4"/>
        <v>0</v>
      </c>
      <c r="DC28" s="50">
        <f>IF(DA28=0,0,IF(AVERAGE(BZ28:CG28)*2&gt;'基本数据输入&amp;测算结果'!$C$20*DA28,100%,AVERAGE(BZ28:CG28)*2/('基本数据输入&amp;测算结果'!$C$20*DA28)))</f>
        <v>0</v>
      </c>
      <c r="DD28" s="50"/>
    </row>
    <row r="29" customHeight="1" spans="1:108">
      <c r="A29" s="48" t="s">
        <v>83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42" t="str">
        <f>IFERROR(('基本数据输入&amp;测算结果'!$C$19*7-AVERAGE(B29:Y29,CP29:CS29)*7-'基本数据输入&amp;测算结果'!$C$23*7)/'基本数据输入&amp;测算结果'!$C$21*'基本数据输入&amp;测算结果'!$C$22,"无数据/数据缺失")</f>
        <v>无数据/数据缺失</v>
      </c>
      <c r="CU29" s="42">
        <f>IF(CT29&lt;0,0,IF(CT29="无数据/数据缺失",0%,IF(CT29&gt;'基本数据输入&amp;测算结果'!$C$20,100%,CT29/'基本数据输入&amp;测算结果'!$C$20)))</f>
        <v>0</v>
      </c>
      <c r="CV29" s="42" t="str">
        <f>IFERROR((AVERAGE(Z29:AW29)*6-'基本数据输入&amp;测算结果'!$C$24*6)/'基本数据输入&amp;测算结果'!$C$21/'基本数据输入&amp;测算结果'!$C$22,"无数据/数据缺失")</f>
        <v>无数据/数据缺失</v>
      </c>
      <c r="CW29" s="42">
        <f>IF(CV29&lt;0,0,IF(CV29="无数据/数据缺失",0%,IF(CV29&gt;'基本数据输入&amp;测算结果'!$C$20*CU29,CU29,CV29/'基本数据输入&amp;测算结果'!$C$20*CU29)))</f>
        <v>0</v>
      </c>
      <c r="CX29" s="42" t="str">
        <f>IFERROR(('基本数据输入&amp;测算结果'!$C$19*2-AVERAGE(AX29:BE29)*2-'基本数据输入&amp;测算结果'!$C$23*2)/'基本数据输入&amp;测算结果'!$C$21*'基本数据输入&amp;测算结果'!$C$22,"无数据/数据缺失")</f>
        <v>无数据/数据缺失</v>
      </c>
      <c r="CY29" s="42">
        <f>IF(CX29&lt;0,0,IF(CX29="无数据/数据缺失",0%,IF(CX29&gt;'基本数据输入&amp;测算结果'!$C$20,100%,CX29/'基本数据输入&amp;测算结果'!$C$20)))</f>
        <v>0</v>
      </c>
      <c r="CZ29" s="42" t="str">
        <f>IFERROR((AVERAGE(BJ29:CO29)*8-'基本数据输入&amp;测算结果'!$C$24*8)/'基本数据输入&amp;测算结果'!$C$21/'基本数据输入&amp;测算结果'!$C$22,"无数据/数据缺失")</f>
        <v>无数据/数据缺失</v>
      </c>
      <c r="DA29" s="42">
        <f>IF(CZ29&lt;0,0,IF(CZ29="无数据/数据缺失",0,IF('基本数据输入&amp;测算结果'!$C$20*CY29&gt;CZ29,CZ29/'基本数据输入&amp;测算结果'!$C$20*CY29,CY29)))</f>
        <v>0</v>
      </c>
      <c r="DB29" s="49">
        <f t="shared" si="4"/>
        <v>0</v>
      </c>
      <c r="DC29" s="50">
        <f>IF(DA29=0,0,IF(AVERAGE(BZ29:CG29)*2&gt;'基本数据输入&amp;测算结果'!$C$20*DA29,100%,AVERAGE(BZ29:CG29)*2/('基本数据输入&amp;测算结果'!$C$20*DA29)))</f>
        <v>0</v>
      </c>
      <c r="DD29" s="50"/>
    </row>
    <row r="30" customHeight="1" spans="1:108">
      <c r="A30" s="48" t="s">
        <v>84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42" t="str">
        <f>IFERROR(('基本数据输入&amp;测算结果'!$C$19*7-AVERAGE(B30:Y30,CP30:CS30)*7-'基本数据输入&amp;测算结果'!$C$23*7)/'基本数据输入&amp;测算结果'!$C$21*'基本数据输入&amp;测算结果'!$C$22,"无数据/数据缺失")</f>
        <v>无数据/数据缺失</v>
      </c>
      <c r="CU30" s="42">
        <f>IF(CT30&lt;0,0,IF(CT30="无数据/数据缺失",0%,IF(CT30&gt;'基本数据输入&amp;测算结果'!$C$20,100%,CT30/'基本数据输入&amp;测算结果'!$C$20)))</f>
        <v>0</v>
      </c>
      <c r="CV30" s="42" t="str">
        <f>IFERROR((AVERAGE(Z30:AW30)*6-'基本数据输入&amp;测算结果'!$C$24*6)/'基本数据输入&amp;测算结果'!$C$21/'基本数据输入&amp;测算结果'!$C$22,"无数据/数据缺失")</f>
        <v>无数据/数据缺失</v>
      </c>
      <c r="CW30" s="42">
        <f>IF(CV30&lt;0,0,IF(CV30="无数据/数据缺失",0%,IF(CV30&gt;'基本数据输入&amp;测算结果'!$C$20*CU30,CU30,CV30/'基本数据输入&amp;测算结果'!$C$20*CU30)))</f>
        <v>0</v>
      </c>
      <c r="CX30" s="42" t="str">
        <f>IFERROR(('基本数据输入&amp;测算结果'!$C$19*2-AVERAGE(AX30:BE30)*2-'基本数据输入&amp;测算结果'!$C$23*2)/'基本数据输入&amp;测算结果'!$C$21*'基本数据输入&amp;测算结果'!$C$22,"无数据/数据缺失")</f>
        <v>无数据/数据缺失</v>
      </c>
      <c r="CY30" s="42">
        <f>IF(CX30&lt;0,0,IF(CX30="无数据/数据缺失",0%,IF(CX30&gt;'基本数据输入&amp;测算结果'!$C$20,100%,CX30/'基本数据输入&amp;测算结果'!$C$20)))</f>
        <v>0</v>
      </c>
      <c r="CZ30" s="42" t="str">
        <f>IFERROR((AVERAGE(BJ30:CO30)*8-'基本数据输入&amp;测算结果'!$C$24*8)/'基本数据输入&amp;测算结果'!$C$21/'基本数据输入&amp;测算结果'!$C$22,"无数据/数据缺失")</f>
        <v>无数据/数据缺失</v>
      </c>
      <c r="DA30" s="42">
        <f>IF(CZ30&lt;0,0,IF(CZ30="无数据/数据缺失",0,IF('基本数据输入&amp;测算结果'!$C$20*CY30&gt;CZ30,CZ30/'基本数据输入&amp;测算结果'!$C$20*CY30,CY30)))</f>
        <v>0</v>
      </c>
      <c r="DB30" s="49">
        <f t="shared" si="4"/>
        <v>0</v>
      </c>
      <c r="DC30" s="50">
        <f>IF(DA30=0,0,IF(AVERAGE(BZ30:CG30)*2&gt;'基本数据输入&amp;测算结果'!$C$20*DA30,100%,AVERAGE(BZ30:CG30)*2/('基本数据输入&amp;测算结果'!$C$20*DA30)))</f>
        <v>0</v>
      </c>
      <c r="DD30" s="50"/>
    </row>
    <row r="31" customHeight="1" spans="1:108">
      <c r="A31" s="48" t="s">
        <v>85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42" t="str">
        <f>IFERROR(('基本数据输入&amp;测算结果'!$C$19*7-AVERAGE(B31:Y31,CP31:CS31)*7-'基本数据输入&amp;测算结果'!$C$23*7)/'基本数据输入&amp;测算结果'!$C$21*'基本数据输入&amp;测算结果'!$C$22,"无数据/数据缺失")</f>
        <v>无数据/数据缺失</v>
      </c>
      <c r="CU31" s="42">
        <f>IF(CT31&lt;0,0,IF(CT31="无数据/数据缺失",0%,IF(CT31&gt;'基本数据输入&amp;测算结果'!$C$20,100%,CT31/'基本数据输入&amp;测算结果'!$C$20)))</f>
        <v>0</v>
      </c>
      <c r="CV31" s="42" t="str">
        <f>IFERROR((AVERAGE(Z31:AW31)*6-'基本数据输入&amp;测算结果'!$C$24*6)/'基本数据输入&amp;测算结果'!$C$21/'基本数据输入&amp;测算结果'!$C$22,"无数据/数据缺失")</f>
        <v>无数据/数据缺失</v>
      </c>
      <c r="CW31" s="42">
        <f>IF(CV31&lt;0,0,IF(CV31="无数据/数据缺失",0%,IF(CV31&gt;'基本数据输入&amp;测算结果'!$C$20*CU31,CU31,CV31/'基本数据输入&amp;测算结果'!$C$20*CU31)))</f>
        <v>0</v>
      </c>
      <c r="CX31" s="42" t="str">
        <f>IFERROR(('基本数据输入&amp;测算结果'!$C$19*2-AVERAGE(AX31:BE31)*2-'基本数据输入&amp;测算结果'!$C$23*2)/'基本数据输入&amp;测算结果'!$C$21*'基本数据输入&amp;测算结果'!$C$22,"无数据/数据缺失")</f>
        <v>无数据/数据缺失</v>
      </c>
      <c r="CY31" s="42">
        <f>IF(CX31&lt;0,0,IF(CX31="无数据/数据缺失",0%,IF(CX31&gt;'基本数据输入&amp;测算结果'!$C$20,100%,CX31/'基本数据输入&amp;测算结果'!$C$20)))</f>
        <v>0</v>
      </c>
      <c r="CZ31" s="42" t="str">
        <f>IFERROR((AVERAGE(BJ31:CO31)*8-'基本数据输入&amp;测算结果'!$C$24*8)/'基本数据输入&amp;测算结果'!$C$21/'基本数据输入&amp;测算结果'!$C$22,"无数据/数据缺失")</f>
        <v>无数据/数据缺失</v>
      </c>
      <c r="DA31" s="42">
        <f>IF(CZ31&lt;0,0,IF(CZ31="无数据/数据缺失",0,IF('基本数据输入&amp;测算结果'!$C$20*CY31&gt;CZ31,CZ31/'基本数据输入&amp;测算结果'!$C$20*CY31,CY31)))</f>
        <v>0</v>
      </c>
      <c r="DB31" s="49">
        <f t="shared" si="4"/>
        <v>0</v>
      </c>
      <c r="DC31" s="50">
        <f>IF(DA31=0,0,IF(AVERAGE(BZ31:CG31)*2&gt;'基本数据输入&amp;测算结果'!$C$20*DA31,100%,AVERAGE(BZ31:CG31)*2/('基本数据输入&amp;测算结果'!$C$20*DA31)))</f>
        <v>0</v>
      </c>
      <c r="DD31" s="50"/>
    </row>
    <row r="32" s="42" customFormat="1" customHeight="1" spans="1:108">
      <c r="A32" s="48" t="s">
        <v>86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42" t="str">
        <f>IFERROR(('基本数据输入&amp;测算结果'!$C$19*7-AVERAGE(B32:Y32,CP32:CS32)*7-'基本数据输入&amp;测算结果'!$C$23*7)/'基本数据输入&amp;测算结果'!$C$21*'基本数据输入&amp;测算结果'!$C$22,"无数据/数据缺失")</f>
        <v>无数据/数据缺失</v>
      </c>
      <c r="CU32" s="42">
        <f>IF(CT32&lt;0,0,IF(CT32="无数据/数据缺失",0%,IF(CT32&gt;'基本数据输入&amp;测算结果'!$C$20,100%,CT32/'基本数据输入&amp;测算结果'!$C$20)))</f>
        <v>0</v>
      </c>
      <c r="CV32" s="42" t="str">
        <f>IFERROR((AVERAGE(Z32:AW32)*6-'基本数据输入&amp;测算结果'!$C$24*6)/'基本数据输入&amp;测算结果'!$C$21/'基本数据输入&amp;测算结果'!$C$22,"无数据/数据缺失")</f>
        <v>无数据/数据缺失</v>
      </c>
      <c r="CW32" s="42">
        <f>IF(CV32&lt;0,0,IF(CV32="无数据/数据缺失",0%,IF(CV32&gt;'基本数据输入&amp;测算结果'!$C$20*CU32,CU32,CV32/'基本数据输入&amp;测算结果'!$C$20*CU32)))</f>
        <v>0</v>
      </c>
      <c r="CX32" s="42" t="str">
        <f>IFERROR(('基本数据输入&amp;测算结果'!$C$19*2-AVERAGE(AX32:BE32)*2-'基本数据输入&amp;测算结果'!$C$23*2)/'基本数据输入&amp;测算结果'!$C$21*'基本数据输入&amp;测算结果'!$C$22,"无数据/数据缺失")</f>
        <v>无数据/数据缺失</v>
      </c>
      <c r="CY32" s="42">
        <f>IF(CX32&lt;0,0,IF(CX32="无数据/数据缺失",0%,IF(CX32&gt;'基本数据输入&amp;测算结果'!$C$20,100%,CX32/'基本数据输入&amp;测算结果'!$C$20)))</f>
        <v>0</v>
      </c>
      <c r="CZ32" s="42" t="str">
        <f>IFERROR((AVERAGE(BJ32:CO32)*8-'基本数据输入&amp;测算结果'!$C$24*8)/'基本数据输入&amp;测算结果'!$C$21/'基本数据输入&amp;测算结果'!$C$22,"无数据/数据缺失")</f>
        <v>无数据/数据缺失</v>
      </c>
      <c r="DA32" s="42">
        <f>IF(CZ32&lt;0,0,IF(CZ32="无数据/数据缺失",0,IF('基本数据输入&amp;测算结果'!$C$20*CY32&gt;CZ32,CZ32/'基本数据输入&amp;测算结果'!$C$20*CY32,CY32)))</f>
        <v>0</v>
      </c>
      <c r="DB32" s="49">
        <f t="shared" si="4"/>
        <v>0</v>
      </c>
      <c r="DC32" s="50">
        <f>IF(DA32=0,0,IF(AVERAGE(BZ32:CG32)*2&gt;'基本数据输入&amp;测算结果'!$C$20*DA32,100%,AVERAGE(BZ32:CG32)*2/('基本数据输入&amp;测算结果'!$C$20*DA32)))</f>
        <v>0</v>
      </c>
      <c r="DD32" s="50"/>
    </row>
    <row r="33" customHeight="1" spans="1:108">
      <c r="A33" s="52" t="s">
        <v>87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42" t="str">
        <f>IFERROR(('基本数据输入&amp;测算结果'!$C$19*7-AVERAGE(B33:Y33,CP33:CS33)*7-'基本数据输入&amp;测算结果'!$C$23*7)/'基本数据输入&amp;测算结果'!$C$21*'基本数据输入&amp;测算结果'!$C$22,"无数据/数据缺失")</f>
        <v>无数据/数据缺失</v>
      </c>
      <c r="CU33" s="42">
        <f>IF(CT33&lt;0,0,IF(CT33="无数据/数据缺失",0%,IF(CT33&gt;'基本数据输入&amp;测算结果'!$C$20,100%,CT33/'基本数据输入&amp;测算结果'!$C$20)))</f>
        <v>0</v>
      </c>
      <c r="CV33" s="42" t="str">
        <f>IFERROR((AVERAGE(Z33:AG33)*2-'基本数据输入&amp;测算结果'!$C$24*2)/'基本数据输入&amp;测算结果'!$C$21/'基本数据输入&amp;测算结果'!$C$22,"无数据/数据缺失")</f>
        <v>无数据/数据缺失</v>
      </c>
      <c r="CW33" s="42">
        <f>IF(CV33&lt;0,0,IF(CV33="无数据/数据缺失",0%,IF(CV33&gt;'基本数据输入&amp;测算结果'!$C$20*CU33,CU33,CV33/'基本数据输入&amp;测算结果'!$C$20*CU33)))</f>
        <v>0</v>
      </c>
      <c r="CX33" s="42" t="str">
        <f>IFERROR(('基本数据输入&amp;测算结果'!$C$19*3-AVERAGE(AT33:BE33)*3-'基本数据输入&amp;测算结果'!$C$23*3)/'基本数据输入&amp;测算结果'!$C$21*'基本数据输入&amp;测算结果'!$C$22,"无数据/数据缺失")</f>
        <v>无数据/数据缺失</v>
      </c>
      <c r="CY33" s="42">
        <f>IF(CX33&lt;0,0,IF(CX33="无数据/数据缺失",0%,IF(CX33&gt;'基本数据输入&amp;测算结果'!$C$20,100%,CX33/'基本数据输入&amp;测算结果'!$C$20)))</f>
        <v>0</v>
      </c>
      <c r="CZ33" s="42" t="str">
        <f>IFERROR((AVERAGE(BN33:CK33)*6-'基本数据输入&amp;测算结果'!$C$24*6)/'基本数据输入&amp;测算结果'!$C$21/'基本数据输入&amp;测算结果'!$C$22,"无数据/数据缺失")</f>
        <v>无数据/数据缺失</v>
      </c>
      <c r="DA33" s="42">
        <f>IF(CZ33&lt;0,0,IF(CZ33="无数据/数据缺失",0,IF('基本数据输入&amp;测算结果'!$C$20*CY33&gt;CZ33,CZ33/'基本数据输入&amp;测算结果'!$C$20*CY33,CY33)))</f>
        <v>0</v>
      </c>
      <c r="DB33" s="49">
        <f t="shared" si="4"/>
        <v>0</v>
      </c>
      <c r="DC33" s="50"/>
      <c r="DD33" s="50"/>
    </row>
    <row r="34" customHeight="1" spans="1:108">
      <c r="A34" s="52" t="s">
        <v>88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42" t="str">
        <f>IFERROR(('基本数据输入&amp;测算结果'!$C$19*7-AVERAGE(B34:Y34,CP34:CS34)*7-'基本数据输入&amp;测算结果'!$C$23*7)/'基本数据输入&amp;测算结果'!$C$21*'基本数据输入&amp;测算结果'!$C$22,"无数据/数据缺失")</f>
        <v>无数据/数据缺失</v>
      </c>
      <c r="CU34" s="42">
        <f>IF(CT34&lt;0,0,IF(CT34="无数据/数据缺失",0%,IF(CT34&gt;'基本数据输入&amp;测算结果'!$C$20,100%,CT34/'基本数据输入&amp;测算结果'!$C$20)))</f>
        <v>0</v>
      </c>
      <c r="CV34" s="42" t="str">
        <f>IFERROR((AVERAGE(Z34:AG34)*2-'基本数据输入&amp;测算结果'!$C$24*2)/'基本数据输入&amp;测算结果'!$C$21/'基本数据输入&amp;测算结果'!$C$22,"无数据/数据缺失")</f>
        <v>无数据/数据缺失</v>
      </c>
      <c r="CW34" s="42">
        <f>IF(CV34&lt;0,0,IF(CV34="无数据/数据缺失",0%,IF(CV34&gt;'基本数据输入&amp;测算结果'!$C$20*CU34,CU34,CV34/'基本数据输入&amp;测算结果'!$C$20*CU34)))</f>
        <v>0</v>
      </c>
      <c r="CX34" s="42" t="str">
        <f>IFERROR(('基本数据输入&amp;测算结果'!$C$19*3-AVERAGE(AT34:BE34)*3-'基本数据输入&amp;测算结果'!$C$23*3)/'基本数据输入&amp;测算结果'!$C$21*'基本数据输入&amp;测算结果'!$C$22,"无数据/数据缺失")</f>
        <v>无数据/数据缺失</v>
      </c>
      <c r="CY34" s="42">
        <f>IF(CX34&lt;0,0,IF(CX34="无数据/数据缺失",0%,IF(CX34&gt;'基本数据输入&amp;测算结果'!$C$20,100%,CX34/'基本数据输入&amp;测算结果'!$C$20)))</f>
        <v>0</v>
      </c>
      <c r="CZ34" s="42" t="str">
        <f>IFERROR((AVERAGE(BN34:CK34)*6-'基本数据输入&amp;测算结果'!$C$24*6)/'基本数据输入&amp;测算结果'!$C$21/'基本数据输入&amp;测算结果'!$C$22,"无数据/数据缺失")</f>
        <v>无数据/数据缺失</v>
      </c>
      <c r="DA34" s="42">
        <f>IF(CZ34&lt;0,0,IF(CZ34="无数据/数据缺失",0,IF('基本数据输入&amp;测算结果'!$C$20*CY34&gt;CZ34,CZ34/'基本数据输入&amp;测算结果'!$C$20*CY34,CY34)))</f>
        <v>0</v>
      </c>
      <c r="DB34" s="49">
        <f t="shared" ref="DB34:DB65" si="5">MIN(CU34,CW34)+MIN(CY34,DA34)</f>
        <v>0</v>
      </c>
      <c r="DC34" s="50"/>
      <c r="DD34" s="50"/>
    </row>
    <row r="35" customHeight="1" spans="1:108">
      <c r="A35" s="52" t="s">
        <v>89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42" t="str">
        <f>IFERROR(('基本数据输入&amp;测算结果'!$C$19*7-AVERAGE(B35:Y35,CP35:CS35)*7-'基本数据输入&amp;测算结果'!$C$23*7)/'基本数据输入&amp;测算结果'!$C$21*'基本数据输入&amp;测算结果'!$C$22,"无数据/数据缺失")</f>
        <v>无数据/数据缺失</v>
      </c>
      <c r="CU35" s="42">
        <f>IF(CT35&lt;0,0,IF(CT35="无数据/数据缺失",0%,IF(CT35&gt;'基本数据输入&amp;测算结果'!$C$20,100%,CT35/'基本数据输入&amp;测算结果'!$C$20)))</f>
        <v>0</v>
      </c>
      <c r="CV35" s="42" t="str">
        <f>IFERROR((AVERAGE(Z35:AG35)*2-'基本数据输入&amp;测算结果'!$C$24*2)/'基本数据输入&amp;测算结果'!$C$21/'基本数据输入&amp;测算结果'!$C$22,"无数据/数据缺失")</f>
        <v>无数据/数据缺失</v>
      </c>
      <c r="CW35" s="42">
        <f>IF(CV35&lt;0,0,IF(CV35="无数据/数据缺失",0%,IF(CV35&gt;'基本数据输入&amp;测算结果'!$C$20*CU35,CU35,CV35/'基本数据输入&amp;测算结果'!$C$20*CU35)))</f>
        <v>0</v>
      </c>
      <c r="CX35" s="42" t="str">
        <f>IFERROR(('基本数据输入&amp;测算结果'!$C$19*3-AVERAGE(AT35:BE35)*3-'基本数据输入&amp;测算结果'!$C$23*3)/'基本数据输入&amp;测算结果'!$C$21*'基本数据输入&amp;测算结果'!$C$22,"无数据/数据缺失")</f>
        <v>无数据/数据缺失</v>
      </c>
      <c r="CY35" s="42">
        <f>IF(CX35&lt;0,0,IF(CX35="无数据/数据缺失",0%,IF(CX35&gt;'基本数据输入&amp;测算结果'!$C$20,100%,CX35/'基本数据输入&amp;测算结果'!$C$20)))</f>
        <v>0</v>
      </c>
      <c r="CZ35" s="42" t="str">
        <f>IFERROR((AVERAGE(BN35:CK35)*6-'基本数据输入&amp;测算结果'!$C$24*6)/'基本数据输入&amp;测算结果'!$C$21/'基本数据输入&amp;测算结果'!$C$22,"无数据/数据缺失")</f>
        <v>无数据/数据缺失</v>
      </c>
      <c r="DA35" s="42">
        <f>IF(CZ35&lt;0,0,IF(CZ35="无数据/数据缺失",0,IF('基本数据输入&amp;测算结果'!$C$20*CY35&gt;CZ35,CZ35/'基本数据输入&amp;测算结果'!$C$20*CY35,CY35)))</f>
        <v>0</v>
      </c>
      <c r="DB35" s="49">
        <f t="shared" si="5"/>
        <v>0</v>
      </c>
      <c r="DC35" s="50"/>
      <c r="DD35" s="50"/>
    </row>
    <row r="36" customHeight="1" spans="1:108">
      <c r="A36" s="52" t="s">
        <v>90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42" t="str">
        <f>IFERROR(('基本数据输入&amp;测算结果'!$C$19*7-AVERAGE(B36:Y36,CP36:CS36)*7-'基本数据输入&amp;测算结果'!$C$23*7)/'基本数据输入&amp;测算结果'!$C$21*'基本数据输入&amp;测算结果'!$C$22,"无数据/数据缺失")</f>
        <v>无数据/数据缺失</v>
      </c>
      <c r="CU36" s="42">
        <f>IF(CT36&lt;0,0,IF(CT36="无数据/数据缺失",0%,IF(CT36&gt;'基本数据输入&amp;测算结果'!$C$20,100%,CT36/'基本数据输入&amp;测算结果'!$C$20)))</f>
        <v>0</v>
      </c>
      <c r="CV36" s="42" t="str">
        <f>IFERROR((AVERAGE(Z36:AG36)*2-'基本数据输入&amp;测算结果'!$C$24*2)/'基本数据输入&amp;测算结果'!$C$21/'基本数据输入&amp;测算结果'!$C$22,"无数据/数据缺失")</f>
        <v>无数据/数据缺失</v>
      </c>
      <c r="CW36" s="42">
        <f>IF(CV36&lt;0,0,IF(CV36="无数据/数据缺失",0%,IF(CV36&gt;'基本数据输入&amp;测算结果'!$C$20*CU36,CU36,CV36/'基本数据输入&amp;测算结果'!$C$20*CU36)))</f>
        <v>0</v>
      </c>
      <c r="CX36" s="42" t="str">
        <f>IFERROR(('基本数据输入&amp;测算结果'!$C$19*3-AVERAGE(AT36:BE36)*3-'基本数据输入&amp;测算结果'!$C$23*3)/'基本数据输入&amp;测算结果'!$C$21*'基本数据输入&amp;测算结果'!$C$22,"无数据/数据缺失")</f>
        <v>无数据/数据缺失</v>
      </c>
      <c r="CY36" s="42">
        <f>IF(CX36&lt;0,0,IF(CX36="无数据/数据缺失",0%,IF(CX36&gt;'基本数据输入&amp;测算结果'!$C$20,100%,CX36/'基本数据输入&amp;测算结果'!$C$20)))</f>
        <v>0</v>
      </c>
      <c r="CZ36" s="42" t="str">
        <f>IFERROR((AVERAGE(BN36:CK36)*6-'基本数据输入&amp;测算结果'!$C$24*6)/'基本数据输入&amp;测算结果'!$C$21/'基本数据输入&amp;测算结果'!$C$22,"无数据/数据缺失")</f>
        <v>无数据/数据缺失</v>
      </c>
      <c r="DA36" s="42">
        <f>IF(CZ36&lt;0,0,IF(CZ36="无数据/数据缺失",0,IF('基本数据输入&amp;测算结果'!$C$20*CY36&gt;CZ36,CZ36/'基本数据输入&amp;测算结果'!$C$20*CY36,CY36)))</f>
        <v>0</v>
      </c>
      <c r="DB36" s="49">
        <f t="shared" si="5"/>
        <v>0</v>
      </c>
      <c r="DC36" s="50"/>
      <c r="DD36" s="50"/>
    </row>
    <row r="37" customHeight="1" spans="1:108">
      <c r="A37" s="52" t="s">
        <v>91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42" t="str">
        <f>IFERROR(('基本数据输入&amp;测算结果'!$C$19*7-AVERAGE(B37:Y37,CP37:CS37)*7-'基本数据输入&amp;测算结果'!$C$23*7)/'基本数据输入&amp;测算结果'!$C$21*'基本数据输入&amp;测算结果'!$C$22,"无数据/数据缺失")</f>
        <v>无数据/数据缺失</v>
      </c>
      <c r="CU37" s="42">
        <f>IF(CT37&lt;0,0,IF(CT37="无数据/数据缺失",0%,IF(CT37&gt;'基本数据输入&amp;测算结果'!$C$20,100%,CT37/'基本数据输入&amp;测算结果'!$C$20)))</f>
        <v>0</v>
      </c>
      <c r="CV37" s="42" t="str">
        <f>IFERROR((AVERAGE(Z37:AG37)*2-'基本数据输入&amp;测算结果'!$C$24*2)/'基本数据输入&amp;测算结果'!$C$21/'基本数据输入&amp;测算结果'!$C$22,"无数据/数据缺失")</f>
        <v>无数据/数据缺失</v>
      </c>
      <c r="CW37" s="42">
        <f>IF(CV37&lt;0,0,IF(CV37="无数据/数据缺失",0%,IF(CV37&gt;'基本数据输入&amp;测算结果'!$C$20*CU37,CU37,CV37/'基本数据输入&amp;测算结果'!$C$20*CU37)))</f>
        <v>0</v>
      </c>
      <c r="CX37" s="42" t="str">
        <f>IFERROR(('基本数据输入&amp;测算结果'!$C$19*3-AVERAGE(AT37:BE37)*3-'基本数据输入&amp;测算结果'!$C$23*3)/'基本数据输入&amp;测算结果'!$C$21*'基本数据输入&amp;测算结果'!$C$22,"无数据/数据缺失")</f>
        <v>无数据/数据缺失</v>
      </c>
      <c r="CY37" s="42">
        <f>IF(CX37&lt;0,0,IF(CX37="无数据/数据缺失",0%,IF(CX37&gt;'基本数据输入&amp;测算结果'!$C$20,100%,CX37/'基本数据输入&amp;测算结果'!$C$20)))</f>
        <v>0</v>
      </c>
      <c r="CZ37" s="42" t="str">
        <f>IFERROR((AVERAGE(BN37:CK37)*6-'基本数据输入&amp;测算结果'!$C$24*6)/'基本数据输入&amp;测算结果'!$C$21/'基本数据输入&amp;测算结果'!$C$22,"无数据/数据缺失")</f>
        <v>无数据/数据缺失</v>
      </c>
      <c r="DA37" s="42">
        <f>IF(CZ37&lt;0,0,IF(CZ37="无数据/数据缺失",0,IF('基本数据输入&amp;测算结果'!$C$20*CY37&gt;CZ37,CZ37/'基本数据输入&amp;测算结果'!$C$20*CY37,CY37)))</f>
        <v>0</v>
      </c>
      <c r="DB37" s="49">
        <f t="shared" si="5"/>
        <v>0</v>
      </c>
      <c r="DC37" s="50"/>
      <c r="DD37" s="50"/>
    </row>
    <row r="38" customHeight="1" spans="1:108">
      <c r="A38" s="52" t="s">
        <v>92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42" t="str">
        <f>IFERROR(('基本数据输入&amp;测算结果'!$C$19*7-AVERAGE(B38:Y38,CP38:CS38)*7-'基本数据输入&amp;测算结果'!$C$23*7)/'基本数据输入&amp;测算结果'!$C$21*'基本数据输入&amp;测算结果'!$C$22,"无数据/数据缺失")</f>
        <v>无数据/数据缺失</v>
      </c>
      <c r="CU38" s="42">
        <f>IF(CT38&lt;0,0,IF(CT38="无数据/数据缺失",0%,IF(CT38&gt;'基本数据输入&amp;测算结果'!$C$20,100%,CT38/'基本数据输入&amp;测算结果'!$C$20)))</f>
        <v>0</v>
      </c>
      <c r="CV38" s="42" t="str">
        <f>IFERROR((AVERAGE(Z38:AG38)*2-'基本数据输入&amp;测算结果'!$C$24*2)/'基本数据输入&amp;测算结果'!$C$21/'基本数据输入&amp;测算结果'!$C$22,"无数据/数据缺失")</f>
        <v>无数据/数据缺失</v>
      </c>
      <c r="CW38" s="42">
        <f>IF(CV38&lt;0,0,IF(CV38="无数据/数据缺失",0%,IF(CV38&gt;'基本数据输入&amp;测算结果'!$C$20*CU38,CU38,CV38/'基本数据输入&amp;测算结果'!$C$20*CU38)))</f>
        <v>0</v>
      </c>
      <c r="CX38" s="42" t="str">
        <f>IFERROR(('基本数据输入&amp;测算结果'!$C$19*3-AVERAGE(AT38:BE38)*3-'基本数据输入&amp;测算结果'!$C$23*3)/'基本数据输入&amp;测算结果'!$C$21*'基本数据输入&amp;测算结果'!$C$22,"无数据/数据缺失")</f>
        <v>无数据/数据缺失</v>
      </c>
      <c r="CY38" s="42">
        <f>IF(CX38&lt;0,0,IF(CX38="无数据/数据缺失",0%,IF(CX38&gt;'基本数据输入&amp;测算结果'!$C$20,100%,CX38/'基本数据输入&amp;测算结果'!$C$20)))</f>
        <v>0</v>
      </c>
      <c r="CZ38" s="42" t="str">
        <f>IFERROR((AVERAGE(BN38:CK38)*6-'基本数据输入&amp;测算结果'!$C$24*6)/'基本数据输入&amp;测算结果'!$C$21/'基本数据输入&amp;测算结果'!$C$22,"无数据/数据缺失")</f>
        <v>无数据/数据缺失</v>
      </c>
      <c r="DA38" s="42">
        <f>IF(CZ38&lt;0,0,IF(CZ38="无数据/数据缺失",0,IF('基本数据输入&amp;测算结果'!$C$20*CY38&gt;CZ38,CZ38/'基本数据输入&amp;测算结果'!$C$20*CY38,CY38)))</f>
        <v>0</v>
      </c>
      <c r="DB38" s="49">
        <f t="shared" si="5"/>
        <v>0</v>
      </c>
      <c r="DC38" s="50"/>
      <c r="DD38" s="50"/>
    </row>
    <row r="39" customHeight="1" spans="1:108">
      <c r="A39" s="52" t="s">
        <v>93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42" t="str">
        <f>IFERROR(('基本数据输入&amp;测算结果'!$C$19*7-AVERAGE(B39:Y39,CP39:CS39)*7-'基本数据输入&amp;测算结果'!$C$23*7)/'基本数据输入&amp;测算结果'!$C$21*'基本数据输入&amp;测算结果'!$C$22,"无数据/数据缺失")</f>
        <v>无数据/数据缺失</v>
      </c>
      <c r="CU39" s="42">
        <f>IF(CT39&lt;0,0,IF(CT39="无数据/数据缺失",0%,IF(CT39&gt;'基本数据输入&amp;测算结果'!$C$20,100%,CT39/'基本数据输入&amp;测算结果'!$C$20)))</f>
        <v>0</v>
      </c>
      <c r="CV39" s="42" t="str">
        <f>IFERROR((AVERAGE(Z39:AG39)*2-'基本数据输入&amp;测算结果'!$C$24*2)/'基本数据输入&amp;测算结果'!$C$21/'基本数据输入&amp;测算结果'!$C$22,"无数据/数据缺失")</f>
        <v>无数据/数据缺失</v>
      </c>
      <c r="CW39" s="42">
        <f>IF(CV39&lt;0,0,IF(CV39="无数据/数据缺失",0%,IF(CV39&gt;'基本数据输入&amp;测算结果'!$C$20*CU39,CU39,CV39/'基本数据输入&amp;测算结果'!$C$20*CU39)))</f>
        <v>0</v>
      </c>
      <c r="CX39" s="42" t="str">
        <f>IFERROR(('基本数据输入&amp;测算结果'!$C$19*3-AVERAGE(AT39:BE39)*3-'基本数据输入&amp;测算结果'!$C$23*3)/'基本数据输入&amp;测算结果'!$C$21*'基本数据输入&amp;测算结果'!$C$22,"无数据/数据缺失")</f>
        <v>无数据/数据缺失</v>
      </c>
      <c r="CY39" s="42">
        <f>IF(CX39&lt;0,0,IF(CX39="无数据/数据缺失",0%,IF(CX39&gt;'基本数据输入&amp;测算结果'!$C$20,100%,CX39/'基本数据输入&amp;测算结果'!$C$20)))</f>
        <v>0</v>
      </c>
      <c r="CZ39" s="42" t="str">
        <f>IFERROR((AVERAGE(BN39:CK39)*6-'基本数据输入&amp;测算结果'!$C$24*6)/'基本数据输入&amp;测算结果'!$C$21/'基本数据输入&amp;测算结果'!$C$22,"无数据/数据缺失")</f>
        <v>无数据/数据缺失</v>
      </c>
      <c r="DA39" s="42">
        <f>IF(CZ39&lt;0,0,IF(CZ39="无数据/数据缺失",0,IF('基本数据输入&amp;测算结果'!$C$20*CY39&gt;CZ39,CZ39/'基本数据输入&amp;测算结果'!$C$20*CY39,CY39)))</f>
        <v>0</v>
      </c>
      <c r="DB39" s="49">
        <f t="shared" si="5"/>
        <v>0</v>
      </c>
      <c r="DC39" s="50"/>
      <c r="DD39" s="50"/>
    </row>
    <row r="40" customHeight="1" spans="1:108">
      <c r="A40" s="52" t="s">
        <v>94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42" t="str">
        <f>IFERROR(('基本数据输入&amp;测算结果'!$C$19*7-AVERAGE(B40:Y40,CP40:CS40)*7-'基本数据输入&amp;测算结果'!$C$23*7)/'基本数据输入&amp;测算结果'!$C$21*'基本数据输入&amp;测算结果'!$C$22,"无数据/数据缺失")</f>
        <v>无数据/数据缺失</v>
      </c>
      <c r="CU40" s="42">
        <f>IF(CT40&lt;0,0,IF(CT40="无数据/数据缺失",0%,IF(CT40&gt;'基本数据输入&amp;测算结果'!$C$20,100%,CT40/'基本数据输入&amp;测算结果'!$C$20)))</f>
        <v>0</v>
      </c>
      <c r="CV40" s="42" t="str">
        <f>IFERROR((AVERAGE(Z40:AG40)*2-'基本数据输入&amp;测算结果'!$C$24*2)/'基本数据输入&amp;测算结果'!$C$21/'基本数据输入&amp;测算结果'!$C$22,"无数据/数据缺失")</f>
        <v>无数据/数据缺失</v>
      </c>
      <c r="CW40" s="42">
        <f>IF(CV40&lt;0,0,IF(CV40="无数据/数据缺失",0%,IF(CV40&gt;'基本数据输入&amp;测算结果'!$C$20*CU40,CU40,CV40/'基本数据输入&amp;测算结果'!$C$20*CU40)))</f>
        <v>0</v>
      </c>
      <c r="CX40" s="42" t="str">
        <f>IFERROR(('基本数据输入&amp;测算结果'!$C$19*3-AVERAGE(AT40:BE40)*3-'基本数据输入&amp;测算结果'!$C$23*3)/'基本数据输入&amp;测算结果'!$C$21*'基本数据输入&amp;测算结果'!$C$22,"无数据/数据缺失")</f>
        <v>无数据/数据缺失</v>
      </c>
      <c r="CY40" s="42">
        <f>IF(CX40&lt;0,0,IF(CX40="无数据/数据缺失",0%,IF(CX40&gt;'基本数据输入&amp;测算结果'!$C$20,100%,CX40/'基本数据输入&amp;测算结果'!$C$20)))</f>
        <v>0</v>
      </c>
      <c r="CZ40" s="42" t="str">
        <f>IFERROR((AVERAGE(BN40:CK40)*6-'基本数据输入&amp;测算结果'!$C$24*6)/'基本数据输入&amp;测算结果'!$C$21/'基本数据输入&amp;测算结果'!$C$22,"无数据/数据缺失")</f>
        <v>无数据/数据缺失</v>
      </c>
      <c r="DA40" s="42">
        <f>IF(CZ40&lt;0,0,IF(CZ40="无数据/数据缺失",0,IF('基本数据输入&amp;测算结果'!$C$20*CY40&gt;CZ40,CZ40/'基本数据输入&amp;测算结果'!$C$20*CY40,CY40)))</f>
        <v>0</v>
      </c>
      <c r="DB40" s="49">
        <f t="shared" si="5"/>
        <v>0</v>
      </c>
      <c r="DC40" s="50"/>
      <c r="DD40" s="50"/>
    </row>
    <row r="41" customHeight="1" spans="1:108">
      <c r="A41" s="52" t="s">
        <v>95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42" t="str">
        <f>IFERROR(('基本数据输入&amp;测算结果'!$C$19*7-AVERAGE(B41:Y41,CP41:CS41)*7-'基本数据输入&amp;测算结果'!$C$23*7)/'基本数据输入&amp;测算结果'!$C$21*'基本数据输入&amp;测算结果'!$C$22,"无数据/数据缺失")</f>
        <v>无数据/数据缺失</v>
      </c>
      <c r="CU41" s="42">
        <f>IF(CT41&lt;0,0,IF(CT41="无数据/数据缺失",0%,IF(CT41&gt;'基本数据输入&amp;测算结果'!$C$20,100%,CT41/'基本数据输入&amp;测算结果'!$C$20)))</f>
        <v>0</v>
      </c>
      <c r="CV41" s="42" t="str">
        <f>IFERROR((AVERAGE(Z41:AG41)*2-'基本数据输入&amp;测算结果'!$C$24*2)/'基本数据输入&amp;测算结果'!$C$21/'基本数据输入&amp;测算结果'!$C$22,"无数据/数据缺失")</f>
        <v>无数据/数据缺失</v>
      </c>
      <c r="CW41" s="42">
        <f>IF(CV41&lt;0,0,IF(CV41="无数据/数据缺失",0%,IF(CV41&gt;'基本数据输入&amp;测算结果'!$C$20*CU41,CU41,CV41/'基本数据输入&amp;测算结果'!$C$20*CU41)))</f>
        <v>0</v>
      </c>
      <c r="CX41" s="42" t="str">
        <f>IFERROR(('基本数据输入&amp;测算结果'!$C$19*3-AVERAGE(AT41:BE41)*3-'基本数据输入&amp;测算结果'!$C$23*3)/'基本数据输入&amp;测算结果'!$C$21*'基本数据输入&amp;测算结果'!$C$22,"无数据/数据缺失")</f>
        <v>无数据/数据缺失</v>
      </c>
      <c r="CY41" s="42">
        <f>IF(CX41&lt;0,0,IF(CX41="无数据/数据缺失",0%,IF(CX41&gt;'基本数据输入&amp;测算结果'!$C$20,100%,CX41/'基本数据输入&amp;测算结果'!$C$20)))</f>
        <v>0</v>
      </c>
      <c r="CZ41" s="42" t="str">
        <f>IFERROR((AVERAGE(BN41:CK41)*6-'基本数据输入&amp;测算结果'!$C$24*6)/'基本数据输入&amp;测算结果'!$C$21/'基本数据输入&amp;测算结果'!$C$22,"无数据/数据缺失")</f>
        <v>无数据/数据缺失</v>
      </c>
      <c r="DA41" s="42">
        <f>IF(CZ41&lt;0,0,IF(CZ41="无数据/数据缺失",0,IF('基本数据输入&amp;测算结果'!$C$20*CY41&gt;CZ41,CZ41/'基本数据输入&amp;测算结果'!$C$20*CY41,CY41)))</f>
        <v>0</v>
      </c>
      <c r="DB41" s="49">
        <f t="shared" si="5"/>
        <v>0</v>
      </c>
      <c r="DC41" s="50"/>
      <c r="DD41" s="50"/>
    </row>
    <row r="42" customHeight="1" spans="1:108">
      <c r="A42" s="52" t="s">
        <v>96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  <c r="BQ42" s="51"/>
      <c r="BR42" s="51"/>
      <c r="BS42" s="51"/>
      <c r="BT42" s="51"/>
      <c r="BU42" s="51"/>
      <c r="BV42" s="51"/>
      <c r="BW42" s="51"/>
      <c r="BX42" s="51"/>
      <c r="BY42" s="51"/>
      <c r="BZ42" s="51"/>
      <c r="CA42" s="51"/>
      <c r="CB42" s="51"/>
      <c r="CC42" s="51"/>
      <c r="CD42" s="51"/>
      <c r="CE42" s="51"/>
      <c r="CF42" s="51"/>
      <c r="CG42" s="51"/>
      <c r="CH42" s="51"/>
      <c r="CI42" s="51"/>
      <c r="CJ42" s="51"/>
      <c r="CK42" s="51"/>
      <c r="CL42" s="51"/>
      <c r="CM42" s="51"/>
      <c r="CN42" s="51"/>
      <c r="CO42" s="51"/>
      <c r="CP42" s="51"/>
      <c r="CQ42" s="51"/>
      <c r="CR42" s="51"/>
      <c r="CS42" s="51"/>
      <c r="CT42" s="42" t="str">
        <f>IFERROR(('基本数据输入&amp;测算结果'!$C$19*7-AVERAGE(B42:Y42,CP42:CS42)*7-'基本数据输入&amp;测算结果'!$C$23*7)/'基本数据输入&amp;测算结果'!$C$21*'基本数据输入&amp;测算结果'!$C$22,"无数据/数据缺失")</f>
        <v>无数据/数据缺失</v>
      </c>
      <c r="CU42" s="42">
        <f>IF(CT42&lt;0,0,IF(CT42="无数据/数据缺失",0%,IF(CT42&gt;'基本数据输入&amp;测算结果'!$C$20,100%,CT42/'基本数据输入&amp;测算结果'!$C$20)))</f>
        <v>0</v>
      </c>
      <c r="CV42" s="42" t="str">
        <f>IFERROR((AVERAGE(Z42:AG42)*2-'基本数据输入&amp;测算结果'!$C$24*2)/'基本数据输入&amp;测算结果'!$C$21/'基本数据输入&amp;测算结果'!$C$22,"无数据/数据缺失")</f>
        <v>无数据/数据缺失</v>
      </c>
      <c r="CW42" s="42">
        <f>IF(CV42&lt;0,0,IF(CV42="无数据/数据缺失",0%,IF(CV42&gt;'基本数据输入&amp;测算结果'!$C$20*CU42,CU42,CV42/'基本数据输入&amp;测算结果'!$C$20*CU42)))</f>
        <v>0</v>
      </c>
      <c r="CX42" s="42" t="str">
        <f>IFERROR(('基本数据输入&amp;测算结果'!$C$19*3-AVERAGE(AT42:BE42)*3-'基本数据输入&amp;测算结果'!$C$23*3)/'基本数据输入&amp;测算结果'!$C$21*'基本数据输入&amp;测算结果'!$C$22,"无数据/数据缺失")</f>
        <v>无数据/数据缺失</v>
      </c>
      <c r="CY42" s="42">
        <f>IF(CX42&lt;0,0,IF(CX42="无数据/数据缺失",0%,IF(CX42&gt;'基本数据输入&amp;测算结果'!$C$20,100%,CX42/'基本数据输入&amp;测算结果'!$C$20)))</f>
        <v>0</v>
      </c>
      <c r="CZ42" s="42" t="str">
        <f>IFERROR((AVERAGE(BN42:CK42)*6-'基本数据输入&amp;测算结果'!$C$24*6)/'基本数据输入&amp;测算结果'!$C$21/'基本数据输入&amp;测算结果'!$C$22,"无数据/数据缺失")</f>
        <v>无数据/数据缺失</v>
      </c>
      <c r="DA42" s="42">
        <f>IF(CZ42&lt;0,0,IF(CZ42="无数据/数据缺失",0,IF('基本数据输入&amp;测算结果'!$C$20*CY42&gt;CZ42,CZ42/'基本数据输入&amp;测算结果'!$C$20*CY42,CY42)))</f>
        <v>0</v>
      </c>
      <c r="DB42" s="49">
        <f t="shared" si="5"/>
        <v>0</v>
      </c>
      <c r="DC42" s="50"/>
      <c r="DD42" s="50"/>
    </row>
    <row r="43" customHeight="1" spans="1:108">
      <c r="A43" s="52" t="s">
        <v>97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1"/>
      <c r="BP43" s="51"/>
      <c r="BQ43" s="51"/>
      <c r="BR43" s="51"/>
      <c r="BS43" s="51"/>
      <c r="BT43" s="51"/>
      <c r="BU43" s="51"/>
      <c r="BV43" s="51"/>
      <c r="BW43" s="51"/>
      <c r="BX43" s="51"/>
      <c r="BY43" s="51"/>
      <c r="BZ43" s="51"/>
      <c r="CA43" s="51"/>
      <c r="CB43" s="51"/>
      <c r="CC43" s="51"/>
      <c r="CD43" s="51"/>
      <c r="CE43" s="51"/>
      <c r="CF43" s="51"/>
      <c r="CG43" s="51"/>
      <c r="CH43" s="51"/>
      <c r="CI43" s="51"/>
      <c r="CJ43" s="51"/>
      <c r="CK43" s="51"/>
      <c r="CL43" s="51"/>
      <c r="CM43" s="51"/>
      <c r="CN43" s="51"/>
      <c r="CO43" s="51"/>
      <c r="CP43" s="51"/>
      <c r="CQ43" s="51"/>
      <c r="CR43" s="51"/>
      <c r="CS43" s="51"/>
      <c r="CT43" s="42" t="str">
        <f>IFERROR(('基本数据输入&amp;测算结果'!$C$19*7-AVERAGE(B43:Y43,CP43:CS43)*7-'基本数据输入&amp;测算结果'!$C$23*7)/'基本数据输入&amp;测算结果'!$C$21*'基本数据输入&amp;测算结果'!$C$22,"无数据/数据缺失")</f>
        <v>无数据/数据缺失</v>
      </c>
      <c r="CU43" s="42">
        <f>IF(CT43&lt;0,0,IF(CT43="无数据/数据缺失",0%,IF(CT43&gt;'基本数据输入&amp;测算结果'!$C$20,100%,CT43/'基本数据输入&amp;测算结果'!$C$20)))</f>
        <v>0</v>
      </c>
      <c r="CV43" s="42" t="str">
        <f>IFERROR((AVERAGE(Z43:AG43)*2-'基本数据输入&amp;测算结果'!$C$24*2)/'基本数据输入&amp;测算结果'!$C$21/'基本数据输入&amp;测算结果'!$C$22,"无数据/数据缺失")</f>
        <v>无数据/数据缺失</v>
      </c>
      <c r="CW43" s="42">
        <f>IF(CV43&lt;0,0,IF(CV43="无数据/数据缺失",0%,IF(CV43&gt;'基本数据输入&amp;测算结果'!$C$20*CU43,CU43,CV43/'基本数据输入&amp;测算结果'!$C$20*CU43)))</f>
        <v>0</v>
      </c>
      <c r="CX43" s="42" t="str">
        <f>IFERROR(('基本数据输入&amp;测算结果'!$C$19*3-AVERAGE(AT43:BE43)*3-'基本数据输入&amp;测算结果'!$C$23*3)/'基本数据输入&amp;测算结果'!$C$21*'基本数据输入&amp;测算结果'!$C$22,"无数据/数据缺失")</f>
        <v>无数据/数据缺失</v>
      </c>
      <c r="CY43" s="42">
        <f>IF(CX43&lt;0,0,IF(CX43="无数据/数据缺失",0%,IF(CX43&gt;'基本数据输入&amp;测算结果'!$C$20,100%,CX43/'基本数据输入&amp;测算结果'!$C$20)))</f>
        <v>0</v>
      </c>
      <c r="CZ43" s="42" t="str">
        <f>IFERROR((AVERAGE(BN43:CK43)*6-'基本数据输入&amp;测算结果'!$C$24*6)/'基本数据输入&amp;测算结果'!$C$21/'基本数据输入&amp;测算结果'!$C$22,"无数据/数据缺失")</f>
        <v>无数据/数据缺失</v>
      </c>
      <c r="DA43" s="42">
        <f>IF(CZ43&lt;0,0,IF(CZ43="无数据/数据缺失",0,IF('基本数据输入&amp;测算结果'!$C$20*CY43&gt;CZ43,CZ43/'基本数据输入&amp;测算结果'!$C$20*CY43,CY43)))</f>
        <v>0</v>
      </c>
      <c r="DB43" s="49">
        <f t="shared" si="5"/>
        <v>0</v>
      </c>
      <c r="DC43" s="50"/>
      <c r="DD43" s="50"/>
    </row>
    <row r="44" customHeight="1" spans="1:108">
      <c r="A44" s="52" t="s">
        <v>98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1"/>
      <c r="BS44" s="51"/>
      <c r="BT44" s="51"/>
      <c r="BU44" s="51"/>
      <c r="BV44" s="51"/>
      <c r="BW44" s="51"/>
      <c r="BX44" s="51"/>
      <c r="BY44" s="51"/>
      <c r="BZ44" s="51"/>
      <c r="CA44" s="51"/>
      <c r="CB44" s="51"/>
      <c r="CC44" s="51"/>
      <c r="CD44" s="51"/>
      <c r="CE44" s="51"/>
      <c r="CF44" s="51"/>
      <c r="CG44" s="51"/>
      <c r="CH44" s="51"/>
      <c r="CI44" s="51"/>
      <c r="CJ44" s="51"/>
      <c r="CK44" s="51"/>
      <c r="CL44" s="51"/>
      <c r="CM44" s="51"/>
      <c r="CN44" s="51"/>
      <c r="CO44" s="51"/>
      <c r="CP44" s="51"/>
      <c r="CQ44" s="51"/>
      <c r="CR44" s="51"/>
      <c r="CS44" s="51"/>
      <c r="CT44" s="42" t="str">
        <f>IFERROR(('基本数据输入&amp;测算结果'!$C$19*7-AVERAGE(B44:Y44,CP44:CS44)*7-'基本数据输入&amp;测算结果'!$C$23*7)/'基本数据输入&amp;测算结果'!$C$21*'基本数据输入&amp;测算结果'!$C$22,"无数据/数据缺失")</f>
        <v>无数据/数据缺失</v>
      </c>
      <c r="CU44" s="42">
        <f>IF(CT44&lt;0,0,IF(CT44="无数据/数据缺失",0%,IF(CT44&gt;'基本数据输入&amp;测算结果'!$C$20,100%,CT44/'基本数据输入&amp;测算结果'!$C$20)))</f>
        <v>0</v>
      </c>
      <c r="CV44" s="42" t="str">
        <f>IFERROR((AVERAGE(Z44:AG44)*2-'基本数据输入&amp;测算结果'!$C$24*2)/'基本数据输入&amp;测算结果'!$C$21/'基本数据输入&amp;测算结果'!$C$22,"无数据/数据缺失")</f>
        <v>无数据/数据缺失</v>
      </c>
      <c r="CW44" s="42">
        <f>IF(CV44&lt;0,0,IF(CV44="无数据/数据缺失",0%,IF(CV44&gt;'基本数据输入&amp;测算结果'!$C$20*CU44,CU44,CV44/'基本数据输入&amp;测算结果'!$C$20*CU44)))</f>
        <v>0</v>
      </c>
      <c r="CX44" s="42" t="str">
        <f>IFERROR(('基本数据输入&amp;测算结果'!$C$19*3-AVERAGE(AT44:BE44)*3-'基本数据输入&amp;测算结果'!$C$23*3)/'基本数据输入&amp;测算结果'!$C$21*'基本数据输入&amp;测算结果'!$C$22,"无数据/数据缺失")</f>
        <v>无数据/数据缺失</v>
      </c>
      <c r="CY44" s="42">
        <f>IF(CX44&lt;0,0,IF(CX44="无数据/数据缺失",0%,IF(CX44&gt;'基本数据输入&amp;测算结果'!$C$20,100%,CX44/'基本数据输入&amp;测算结果'!$C$20)))</f>
        <v>0</v>
      </c>
      <c r="CZ44" s="42" t="str">
        <f>IFERROR((AVERAGE(BN44:CK44)*6-'基本数据输入&amp;测算结果'!$C$24*6)/'基本数据输入&amp;测算结果'!$C$21/'基本数据输入&amp;测算结果'!$C$22,"无数据/数据缺失")</f>
        <v>无数据/数据缺失</v>
      </c>
      <c r="DA44" s="42">
        <f>IF(CZ44&lt;0,0,IF(CZ44="无数据/数据缺失",0,IF('基本数据输入&amp;测算结果'!$C$20*CY44&gt;CZ44,CZ44/'基本数据输入&amp;测算结果'!$C$20*CY44,CY44)))</f>
        <v>0</v>
      </c>
      <c r="DB44" s="49">
        <f t="shared" si="5"/>
        <v>0</v>
      </c>
      <c r="DC44" s="50"/>
      <c r="DD44" s="50"/>
    </row>
    <row r="45" customHeight="1" spans="1:108">
      <c r="A45" s="52" t="s">
        <v>99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1"/>
      <c r="BP45" s="51"/>
      <c r="BQ45" s="51"/>
      <c r="BR45" s="51"/>
      <c r="BS45" s="51"/>
      <c r="BT45" s="51"/>
      <c r="BU45" s="51"/>
      <c r="BV45" s="51"/>
      <c r="BW45" s="51"/>
      <c r="BX45" s="51"/>
      <c r="BY45" s="51"/>
      <c r="BZ45" s="51"/>
      <c r="CA45" s="51"/>
      <c r="CB45" s="51"/>
      <c r="CC45" s="51"/>
      <c r="CD45" s="51"/>
      <c r="CE45" s="51"/>
      <c r="CF45" s="51"/>
      <c r="CG45" s="51"/>
      <c r="CH45" s="51"/>
      <c r="CI45" s="51"/>
      <c r="CJ45" s="51"/>
      <c r="CK45" s="51"/>
      <c r="CL45" s="51"/>
      <c r="CM45" s="51"/>
      <c r="CN45" s="51"/>
      <c r="CO45" s="51"/>
      <c r="CP45" s="51"/>
      <c r="CQ45" s="51"/>
      <c r="CR45" s="51"/>
      <c r="CS45" s="51"/>
      <c r="CT45" s="42" t="str">
        <f>IFERROR(('基本数据输入&amp;测算结果'!$C$19*7-AVERAGE(B45:Y45,CP45:CS45)*7-'基本数据输入&amp;测算结果'!$C$23*7)/'基本数据输入&amp;测算结果'!$C$21*'基本数据输入&amp;测算结果'!$C$22,"无数据/数据缺失")</f>
        <v>无数据/数据缺失</v>
      </c>
      <c r="CU45" s="42">
        <f>IF(CT45&lt;0,0,IF(CT45="无数据/数据缺失",0%,IF(CT45&gt;'基本数据输入&amp;测算结果'!$C$20,100%,CT45/'基本数据输入&amp;测算结果'!$C$20)))</f>
        <v>0</v>
      </c>
      <c r="CV45" s="42" t="str">
        <f>IFERROR((AVERAGE(Z45:AG45)*2-'基本数据输入&amp;测算结果'!$C$24*2)/'基本数据输入&amp;测算结果'!$C$21/'基本数据输入&amp;测算结果'!$C$22,"无数据/数据缺失")</f>
        <v>无数据/数据缺失</v>
      </c>
      <c r="CW45" s="42">
        <f>IF(CV45&lt;0,0,IF(CV45="无数据/数据缺失",0%,IF(CV45&gt;'基本数据输入&amp;测算结果'!$C$20*CU45,CU45,CV45/'基本数据输入&amp;测算结果'!$C$20*CU45)))</f>
        <v>0</v>
      </c>
      <c r="CX45" s="42" t="str">
        <f>IFERROR(('基本数据输入&amp;测算结果'!$C$19*3-AVERAGE(AT45:BE45)*3-'基本数据输入&amp;测算结果'!$C$23*3)/'基本数据输入&amp;测算结果'!$C$21*'基本数据输入&amp;测算结果'!$C$22,"无数据/数据缺失")</f>
        <v>无数据/数据缺失</v>
      </c>
      <c r="CY45" s="42">
        <f>IF(CX45&lt;0,0,IF(CX45="无数据/数据缺失",0%,IF(CX45&gt;'基本数据输入&amp;测算结果'!$C$20,100%,CX45/'基本数据输入&amp;测算结果'!$C$20)))</f>
        <v>0</v>
      </c>
      <c r="CZ45" s="42" t="str">
        <f>IFERROR((AVERAGE(BN45:CK45)*6-'基本数据输入&amp;测算结果'!$C$24*6)/'基本数据输入&amp;测算结果'!$C$21/'基本数据输入&amp;测算结果'!$C$22,"无数据/数据缺失")</f>
        <v>无数据/数据缺失</v>
      </c>
      <c r="DA45" s="42">
        <f>IF(CZ45&lt;0,0,IF(CZ45="无数据/数据缺失",0,IF('基本数据输入&amp;测算结果'!$C$20*CY45&gt;CZ45,CZ45/'基本数据输入&amp;测算结果'!$C$20*CY45,CY45)))</f>
        <v>0</v>
      </c>
      <c r="DB45" s="49">
        <f t="shared" si="5"/>
        <v>0</v>
      </c>
      <c r="DC45" s="50"/>
      <c r="DD45" s="50"/>
    </row>
    <row r="46" customHeight="1" spans="1:108">
      <c r="A46" s="52" t="s">
        <v>100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  <c r="BQ46" s="51"/>
      <c r="BR46" s="51"/>
      <c r="BS46" s="51"/>
      <c r="BT46" s="51"/>
      <c r="BU46" s="51"/>
      <c r="BV46" s="51"/>
      <c r="BW46" s="51"/>
      <c r="BX46" s="51"/>
      <c r="BY46" s="51"/>
      <c r="BZ46" s="51"/>
      <c r="CA46" s="51"/>
      <c r="CB46" s="51"/>
      <c r="CC46" s="51"/>
      <c r="CD46" s="51"/>
      <c r="CE46" s="51"/>
      <c r="CF46" s="51"/>
      <c r="CG46" s="51"/>
      <c r="CH46" s="51"/>
      <c r="CI46" s="51"/>
      <c r="CJ46" s="51"/>
      <c r="CK46" s="51"/>
      <c r="CL46" s="51"/>
      <c r="CM46" s="51"/>
      <c r="CN46" s="51"/>
      <c r="CO46" s="51"/>
      <c r="CP46" s="51"/>
      <c r="CQ46" s="51"/>
      <c r="CR46" s="51"/>
      <c r="CS46" s="51"/>
      <c r="CT46" s="42" t="str">
        <f>IFERROR(('基本数据输入&amp;测算结果'!$C$19*7-AVERAGE(B46:Y46,CP46:CS46)*7-'基本数据输入&amp;测算结果'!$C$23*7)/'基本数据输入&amp;测算结果'!$C$21*'基本数据输入&amp;测算结果'!$C$22,"无数据/数据缺失")</f>
        <v>无数据/数据缺失</v>
      </c>
      <c r="CU46" s="42">
        <f>IF(CT46&lt;0,0,IF(CT46="无数据/数据缺失",0%,IF(CT46&gt;'基本数据输入&amp;测算结果'!$C$20,100%,CT46/'基本数据输入&amp;测算结果'!$C$20)))</f>
        <v>0</v>
      </c>
      <c r="CV46" s="42" t="str">
        <f>IFERROR((AVERAGE(Z46:AG46)*2-'基本数据输入&amp;测算结果'!$C$24*2)/'基本数据输入&amp;测算结果'!$C$21/'基本数据输入&amp;测算结果'!$C$22,"无数据/数据缺失")</f>
        <v>无数据/数据缺失</v>
      </c>
      <c r="CW46" s="42">
        <f>IF(CV46&lt;0,0,IF(CV46="无数据/数据缺失",0%,IF(CV46&gt;'基本数据输入&amp;测算结果'!$C$20*CU46,CU46,CV46/'基本数据输入&amp;测算结果'!$C$20*CU46)))</f>
        <v>0</v>
      </c>
      <c r="CX46" s="42" t="str">
        <f>IFERROR(('基本数据输入&amp;测算结果'!$C$19*3-AVERAGE(AT46:BE46)*3-'基本数据输入&amp;测算结果'!$C$23*3)/'基本数据输入&amp;测算结果'!$C$21*'基本数据输入&amp;测算结果'!$C$22,"无数据/数据缺失")</f>
        <v>无数据/数据缺失</v>
      </c>
      <c r="CY46" s="42">
        <f>IF(CX46&lt;0,0,IF(CX46="无数据/数据缺失",0%,IF(CX46&gt;'基本数据输入&amp;测算结果'!$C$20,100%,CX46/'基本数据输入&amp;测算结果'!$C$20)))</f>
        <v>0</v>
      </c>
      <c r="CZ46" s="42" t="str">
        <f>IFERROR((AVERAGE(BN46:CK46)*6-'基本数据输入&amp;测算结果'!$C$24*6)/'基本数据输入&amp;测算结果'!$C$21/'基本数据输入&amp;测算结果'!$C$22,"无数据/数据缺失")</f>
        <v>无数据/数据缺失</v>
      </c>
      <c r="DA46" s="42">
        <f>IF(CZ46&lt;0,0,IF(CZ46="无数据/数据缺失",0,IF('基本数据输入&amp;测算结果'!$C$20*CY46&gt;CZ46,CZ46/'基本数据输入&amp;测算结果'!$C$20*CY46,CY46)))</f>
        <v>0</v>
      </c>
      <c r="DB46" s="49">
        <f t="shared" si="5"/>
        <v>0</v>
      </c>
      <c r="DC46" s="50"/>
      <c r="DD46" s="50"/>
    </row>
    <row r="47" customHeight="1" spans="1:108">
      <c r="A47" s="52" t="s">
        <v>101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  <c r="BQ47" s="51"/>
      <c r="BR47" s="51"/>
      <c r="BS47" s="51"/>
      <c r="BT47" s="51"/>
      <c r="BU47" s="51"/>
      <c r="BV47" s="51"/>
      <c r="BW47" s="51"/>
      <c r="BX47" s="51"/>
      <c r="BY47" s="51"/>
      <c r="BZ47" s="51"/>
      <c r="CA47" s="51"/>
      <c r="CB47" s="51"/>
      <c r="CC47" s="51"/>
      <c r="CD47" s="51"/>
      <c r="CE47" s="51"/>
      <c r="CF47" s="51"/>
      <c r="CG47" s="51"/>
      <c r="CH47" s="51"/>
      <c r="CI47" s="51"/>
      <c r="CJ47" s="51"/>
      <c r="CK47" s="51"/>
      <c r="CL47" s="51"/>
      <c r="CM47" s="51"/>
      <c r="CN47" s="51"/>
      <c r="CO47" s="51"/>
      <c r="CP47" s="51"/>
      <c r="CQ47" s="51"/>
      <c r="CR47" s="51"/>
      <c r="CS47" s="51"/>
      <c r="CT47" s="42" t="str">
        <f>IFERROR(('基本数据输入&amp;测算结果'!$C$19*7-AVERAGE(B47:Y47,CP47:CS47)*7-'基本数据输入&amp;测算结果'!$C$23*7)/'基本数据输入&amp;测算结果'!$C$21*'基本数据输入&amp;测算结果'!$C$22,"无数据/数据缺失")</f>
        <v>无数据/数据缺失</v>
      </c>
      <c r="CU47" s="42">
        <f>IF(CT47&lt;0,0,IF(CT47="无数据/数据缺失",0%,IF(CT47&gt;'基本数据输入&amp;测算结果'!$C$20,100%,CT47/'基本数据输入&amp;测算结果'!$C$20)))</f>
        <v>0</v>
      </c>
      <c r="CV47" s="42" t="str">
        <f>IFERROR((AVERAGE(Z47:AG47)*2-'基本数据输入&amp;测算结果'!$C$24*2)/'基本数据输入&amp;测算结果'!$C$21/'基本数据输入&amp;测算结果'!$C$22,"无数据/数据缺失")</f>
        <v>无数据/数据缺失</v>
      </c>
      <c r="CW47" s="42">
        <f>IF(CV47&lt;0,0,IF(CV47="无数据/数据缺失",0%,IF(CV47&gt;'基本数据输入&amp;测算结果'!$C$20*CU47,CU47,CV47/'基本数据输入&amp;测算结果'!$C$20*CU47)))</f>
        <v>0</v>
      </c>
      <c r="CX47" s="42" t="str">
        <f>IFERROR(('基本数据输入&amp;测算结果'!$C$19*3-AVERAGE(AT47:BE47)*3-'基本数据输入&amp;测算结果'!$C$23*3)/'基本数据输入&amp;测算结果'!$C$21*'基本数据输入&amp;测算结果'!$C$22,"无数据/数据缺失")</f>
        <v>无数据/数据缺失</v>
      </c>
      <c r="CY47" s="42">
        <f>IF(CX47&lt;0,0,IF(CX47="无数据/数据缺失",0%,IF(CX47&gt;'基本数据输入&amp;测算结果'!$C$20,100%,CX47/'基本数据输入&amp;测算结果'!$C$20)))</f>
        <v>0</v>
      </c>
      <c r="CZ47" s="42" t="str">
        <f>IFERROR((AVERAGE(BN47:CK47)*6-'基本数据输入&amp;测算结果'!$C$24*6)/'基本数据输入&amp;测算结果'!$C$21/'基本数据输入&amp;测算结果'!$C$22,"无数据/数据缺失")</f>
        <v>无数据/数据缺失</v>
      </c>
      <c r="DA47" s="42">
        <f>IF(CZ47&lt;0,0,IF(CZ47="无数据/数据缺失",0,IF('基本数据输入&amp;测算结果'!$C$20*CY47&gt;CZ47,CZ47/'基本数据输入&amp;测算结果'!$C$20*CY47,CY47)))</f>
        <v>0</v>
      </c>
      <c r="DB47" s="49">
        <f t="shared" si="5"/>
        <v>0</v>
      </c>
      <c r="DC47" s="50"/>
      <c r="DD47" s="50"/>
    </row>
    <row r="48" customHeight="1" spans="1:108">
      <c r="A48" s="52" t="s">
        <v>102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  <c r="BQ48" s="51"/>
      <c r="BR48" s="51"/>
      <c r="BS48" s="51"/>
      <c r="BT48" s="51"/>
      <c r="BU48" s="51"/>
      <c r="BV48" s="51"/>
      <c r="BW48" s="51"/>
      <c r="BX48" s="51"/>
      <c r="BY48" s="51"/>
      <c r="BZ48" s="51"/>
      <c r="CA48" s="51"/>
      <c r="CB48" s="51"/>
      <c r="CC48" s="51"/>
      <c r="CD48" s="51"/>
      <c r="CE48" s="51"/>
      <c r="CF48" s="51"/>
      <c r="CG48" s="51"/>
      <c r="CH48" s="51"/>
      <c r="CI48" s="51"/>
      <c r="CJ48" s="51"/>
      <c r="CK48" s="51"/>
      <c r="CL48" s="51"/>
      <c r="CM48" s="51"/>
      <c r="CN48" s="51"/>
      <c r="CO48" s="51"/>
      <c r="CP48" s="51"/>
      <c r="CQ48" s="51"/>
      <c r="CR48" s="51"/>
      <c r="CS48" s="51"/>
      <c r="CT48" s="42" t="str">
        <f>IFERROR(('基本数据输入&amp;测算结果'!$C$19*7-AVERAGE(B48:Y48,CP48:CS48)*7-'基本数据输入&amp;测算结果'!$C$23*7)/'基本数据输入&amp;测算结果'!$C$21*'基本数据输入&amp;测算结果'!$C$22,"无数据/数据缺失")</f>
        <v>无数据/数据缺失</v>
      </c>
      <c r="CU48" s="42">
        <f>IF(CT48&lt;0,0,IF(CT48="无数据/数据缺失",0%,IF(CT48&gt;'基本数据输入&amp;测算结果'!$C$20,100%,CT48/'基本数据输入&amp;测算结果'!$C$20)))</f>
        <v>0</v>
      </c>
      <c r="CV48" s="42" t="str">
        <f>IFERROR((AVERAGE(Z48:AG48)*2-'基本数据输入&amp;测算结果'!$C$24*2)/'基本数据输入&amp;测算结果'!$C$21/'基本数据输入&amp;测算结果'!$C$22,"无数据/数据缺失")</f>
        <v>无数据/数据缺失</v>
      </c>
      <c r="CW48" s="42">
        <f>IF(CV48&lt;0,0,IF(CV48="无数据/数据缺失",0%,IF(CV48&gt;'基本数据输入&amp;测算结果'!$C$20*CU48,CU48,CV48/'基本数据输入&amp;测算结果'!$C$20*CU48)))</f>
        <v>0</v>
      </c>
      <c r="CX48" s="42" t="str">
        <f>IFERROR(('基本数据输入&amp;测算结果'!$C$19*3-AVERAGE(AT48:BE48)*3-'基本数据输入&amp;测算结果'!$C$23*3)/'基本数据输入&amp;测算结果'!$C$21*'基本数据输入&amp;测算结果'!$C$22,"无数据/数据缺失")</f>
        <v>无数据/数据缺失</v>
      </c>
      <c r="CY48" s="42">
        <f>IF(CX48&lt;0,0,IF(CX48="无数据/数据缺失",0%,IF(CX48&gt;'基本数据输入&amp;测算结果'!$C$20,100%,CX48/'基本数据输入&amp;测算结果'!$C$20)))</f>
        <v>0</v>
      </c>
      <c r="CZ48" s="42" t="str">
        <f>IFERROR((AVERAGE(BN48:CK48)*6-'基本数据输入&amp;测算结果'!$C$24*6)/'基本数据输入&amp;测算结果'!$C$21/'基本数据输入&amp;测算结果'!$C$22,"无数据/数据缺失")</f>
        <v>无数据/数据缺失</v>
      </c>
      <c r="DA48" s="42">
        <f>IF(CZ48&lt;0,0,IF(CZ48="无数据/数据缺失",0,IF('基本数据输入&amp;测算结果'!$C$20*CY48&gt;CZ48,CZ48/'基本数据输入&amp;测算结果'!$C$20*CY48,CY48)))</f>
        <v>0</v>
      </c>
      <c r="DB48" s="49">
        <f t="shared" si="5"/>
        <v>0</v>
      </c>
      <c r="DC48" s="50"/>
      <c r="DD48" s="50"/>
    </row>
    <row r="49" customHeight="1" spans="1:108">
      <c r="A49" s="52" t="s">
        <v>103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  <c r="BQ49" s="51"/>
      <c r="BR49" s="51"/>
      <c r="BS49" s="51"/>
      <c r="BT49" s="51"/>
      <c r="BU49" s="51"/>
      <c r="BV49" s="51"/>
      <c r="BW49" s="51"/>
      <c r="BX49" s="51"/>
      <c r="BY49" s="51"/>
      <c r="BZ49" s="51"/>
      <c r="CA49" s="51"/>
      <c r="CB49" s="51"/>
      <c r="CC49" s="51"/>
      <c r="CD49" s="51"/>
      <c r="CE49" s="51"/>
      <c r="CF49" s="51"/>
      <c r="CG49" s="51"/>
      <c r="CH49" s="51"/>
      <c r="CI49" s="51"/>
      <c r="CJ49" s="51"/>
      <c r="CK49" s="51"/>
      <c r="CL49" s="51"/>
      <c r="CM49" s="51"/>
      <c r="CN49" s="51"/>
      <c r="CO49" s="51"/>
      <c r="CP49" s="51"/>
      <c r="CQ49" s="51"/>
      <c r="CR49" s="51"/>
      <c r="CS49" s="51"/>
      <c r="CT49" s="42" t="str">
        <f>IFERROR(('基本数据输入&amp;测算结果'!$C$19*7-AVERAGE(B49:Y49,CP49:CS49)*7-'基本数据输入&amp;测算结果'!$C$23*7)/'基本数据输入&amp;测算结果'!$C$21*'基本数据输入&amp;测算结果'!$C$22,"无数据/数据缺失")</f>
        <v>无数据/数据缺失</v>
      </c>
      <c r="CU49" s="42">
        <f>IF(CT49&lt;0,0,IF(CT49="无数据/数据缺失",0%,IF(CT49&gt;'基本数据输入&amp;测算结果'!$C$20,100%,CT49/'基本数据输入&amp;测算结果'!$C$20)))</f>
        <v>0</v>
      </c>
      <c r="CV49" s="42" t="str">
        <f>IFERROR((AVERAGE(Z49:AG49)*2-'基本数据输入&amp;测算结果'!$C$24*2)/'基本数据输入&amp;测算结果'!$C$21/'基本数据输入&amp;测算结果'!$C$22,"无数据/数据缺失")</f>
        <v>无数据/数据缺失</v>
      </c>
      <c r="CW49" s="42">
        <f>IF(CV49&lt;0,0,IF(CV49="无数据/数据缺失",0%,IF(CV49&gt;'基本数据输入&amp;测算结果'!$C$20*CU49,CU49,CV49/'基本数据输入&amp;测算结果'!$C$20*CU49)))</f>
        <v>0</v>
      </c>
      <c r="CX49" s="42" t="str">
        <f>IFERROR(('基本数据输入&amp;测算结果'!$C$19*3-AVERAGE(AT49:BE49)*3-'基本数据输入&amp;测算结果'!$C$23*3)/'基本数据输入&amp;测算结果'!$C$21*'基本数据输入&amp;测算结果'!$C$22,"无数据/数据缺失")</f>
        <v>无数据/数据缺失</v>
      </c>
      <c r="CY49" s="42">
        <f>IF(CX49&lt;0,0,IF(CX49="无数据/数据缺失",0%,IF(CX49&gt;'基本数据输入&amp;测算结果'!$C$20,100%,CX49/'基本数据输入&amp;测算结果'!$C$20)))</f>
        <v>0</v>
      </c>
      <c r="CZ49" s="42" t="str">
        <f>IFERROR((AVERAGE(BN49:CK49)*6-'基本数据输入&amp;测算结果'!$C$24*6)/'基本数据输入&amp;测算结果'!$C$21/'基本数据输入&amp;测算结果'!$C$22,"无数据/数据缺失")</f>
        <v>无数据/数据缺失</v>
      </c>
      <c r="DA49" s="42">
        <f>IF(CZ49&lt;0,0,IF(CZ49="无数据/数据缺失",0,IF('基本数据输入&amp;测算结果'!$C$20*CY49&gt;CZ49,CZ49/'基本数据输入&amp;测算结果'!$C$20*CY49,CY49)))</f>
        <v>0</v>
      </c>
      <c r="DB49" s="49">
        <f t="shared" si="5"/>
        <v>0</v>
      </c>
      <c r="DC49" s="50"/>
      <c r="DD49" s="50"/>
    </row>
    <row r="50" customHeight="1" spans="1:108">
      <c r="A50" s="52" t="s">
        <v>104</v>
      </c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1"/>
      <c r="CB50" s="51"/>
      <c r="CC50" s="51"/>
      <c r="CD50" s="51"/>
      <c r="CE50" s="51"/>
      <c r="CF50" s="51"/>
      <c r="CG50" s="51"/>
      <c r="CH50" s="51"/>
      <c r="CI50" s="51"/>
      <c r="CJ50" s="51"/>
      <c r="CK50" s="51"/>
      <c r="CL50" s="51"/>
      <c r="CM50" s="51"/>
      <c r="CN50" s="51"/>
      <c r="CO50" s="51"/>
      <c r="CP50" s="51"/>
      <c r="CQ50" s="51"/>
      <c r="CR50" s="51"/>
      <c r="CS50" s="51"/>
      <c r="CT50" s="42" t="str">
        <f>IFERROR(('基本数据输入&amp;测算结果'!$C$19*7-AVERAGE(B50:Y50,CP50:CS50)*7-'基本数据输入&amp;测算结果'!$C$23*7)/'基本数据输入&amp;测算结果'!$C$21*'基本数据输入&amp;测算结果'!$C$22,"无数据/数据缺失")</f>
        <v>无数据/数据缺失</v>
      </c>
      <c r="CU50" s="42">
        <f>IF(CT50&lt;0,0,IF(CT50="无数据/数据缺失",0%,IF(CT50&gt;'基本数据输入&amp;测算结果'!$C$20,100%,CT50/'基本数据输入&amp;测算结果'!$C$20)))</f>
        <v>0</v>
      </c>
      <c r="CV50" s="42" t="str">
        <f>IFERROR((AVERAGE(Z50:AG50)*2-'基本数据输入&amp;测算结果'!$C$24*2)/'基本数据输入&amp;测算结果'!$C$21/'基本数据输入&amp;测算结果'!$C$22,"无数据/数据缺失")</f>
        <v>无数据/数据缺失</v>
      </c>
      <c r="CW50" s="42">
        <f>IF(CV50&lt;0,0,IF(CV50="无数据/数据缺失",0%,IF(CV50&gt;'基本数据输入&amp;测算结果'!$C$20*CU50,CU50,CV50/'基本数据输入&amp;测算结果'!$C$20*CU50)))</f>
        <v>0</v>
      </c>
      <c r="CX50" s="42" t="str">
        <f>IFERROR(('基本数据输入&amp;测算结果'!$C$19*3-AVERAGE(AT50:BE50)*3-'基本数据输入&amp;测算结果'!$C$23*3)/'基本数据输入&amp;测算结果'!$C$21*'基本数据输入&amp;测算结果'!$C$22,"无数据/数据缺失")</f>
        <v>无数据/数据缺失</v>
      </c>
      <c r="CY50" s="42">
        <f>IF(CX50&lt;0,0,IF(CX50="无数据/数据缺失",0%,IF(CX50&gt;'基本数据输入&amp;测算结果'!$C$20,100%,CX50/'基本数据输入&amp;测算结果'!$C$20)))</f>
        <v>0</v>
      </c>
      <c r="CZ50" s="42" t="str">
        <f>IFERROR((AVERAGE(BN50:CK50)*6-'基本数据输入&amp;测算结果'!$C$24*6)/'基本数据输入&amp;测算结果'!$C$21/'基本数据输入&amp;测算结果'!$C$22,"无数据/数据缺失")</f>
        <v>无数据/数据缺失</v>
      </c>
      <c r="DA50" s="42">
        <f>IF(CZ50&lt;0,0,IF(CZ50="无数据/数据缺失",0,IF('基本数据输入&amp;测算结果'!$C$20*CY50&gt;CZ50,CZ50/'基本数据输入&amp;测算结果'!$C$20*CY50,CY50)))</f>
        <v>0</v>
      </c>
      <c r="DB50" s="49">
        <f t="shared" si="5"/>
        <v>0</v>
      </c>
      <c r="DC50" s="50"/>
      <c r="DD50" s="50"/>
    </row>
    <row r="51" customHeight="1" spans="1:108">
      <c r="A51" s="52" t="s">
        <v>105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51"/>
      <c r="CC51" s="51"/>
      <c r="CD51" s="51"/>
      <c r="CE51" s="51"/>
      <c r="CF51" s="51"/>
      <c r="CG51" s="51"/>
      <c r="CH51" s="51"/>
      <c r="CI51" s="51"/>
      <c r="CJ51" s="51"/>
      <c r="CK51" s="51"/>
      <c r="CL51" s="51"/>
      <c r="CM51" s="51"/>
      <c r="CN51" s="51"/>
      <c r="CO51" s="51"/>
      <c r="CP51" s="51"/>
      <c r="CQ51" s="51"/>
      <c r="CR51" s="51"/>
      <c r="CS51" s="51"/>
      <c r="CT51" s="42" t="str">
        <f>IFERROR(('基本数据输入&amp;测算结果'!$C$19*7-AVERAGE(B51:Y51,CP51:CS51)*7-'基本数据输入&amp;测算结果'!$C$23*7)/'基本数据输入&amp;测算结果'!$C$21*'基本数据输入&amp;测算结果'!$C$22,"无数据/数据缺失")</f>
        <v>无数据/数据缺失</v>
      </c>
      <c r="CU51" s="42">
        <f>IF(CT51&lt;0,0,IF(CT51="无数据/数据缺失",0%,IF(CT51&gt;'基本数据输入&amp;测算结果'!$C$20,100%,CT51/'基本数据输入&amp;测算结果'!$C$20)))</f>
        <v>0</v>
      </c>
      <c r="CV51" s="42" t="str">
        <f>IFERROR((AVERAGE(Z51:AG51)*2-'基本数据输入&amp;测算结果'!$C$24*2)/'基本数据输入&amp;测算结果'!$C$21/'基本数据输入&amp;测算结果'!$C$22,"无数据/数据缺失")</f>
        <v>无数据/数据缺失</v>
      </c>
      <c r="CW51" s="42">
        <f>IF(CV51&lt;0,0,IF(CV51="无数据/数据缺失",0%,IF(CV51&gt;'基本数据输入&amp;测算结果'!$C$20*CU51,CU51,CV51/'基本数据输入&amp;测算结果'!$C$20*CU51)))</f>
        <v>0</v>
      </c>
      <c r="CX51" s="42" t="str">
        <f>IFERROR(('基本数据输入&amp;测算结果'!$C$19*3-AVERAGE(AT51:BE51)*3-'基本数据输入&amp;测算结果'!$C$23*3)/'基本数据输入&amp;测算结果'!$C$21*'基本数据输入&amp;测算结果'!$C$22,"无数据/数据缺失")</f>
        <v>无数据/数据缺失</v>
      </c>
      <c r="CY51" s="42">
        <f>IF(CX51&lt;0,0,IF(CX51="无数据/数据缺失",0%,IF(CX51&gt;'基本数据输入&amp;测算结果'!$C$20,100%,CX51/'基本数据输入&amp;测算结果'!$C$20)))</f>
        <v>0</v>
      </c>
      <c r="CZ51" s="42" t="str">
        <f>IFERROR((AVERAGE(BN51:CK51)*6-'基本数据输入&amp;测算结果'!$C$24*6)/'基本数据输入&amp;测算结果'!$C$21/'基本数据输入&amp;测算结果'!$C$22,"无数据/数据缺失")</f>
        <v>无数据/数据缺失</v>
      </c>
      <c r="DA51" s="42">
        <f>IF(CZ51&lt;0,0,IF(CZ51="无数据/数据缺失",0,IF('基本数据输入&amp;测算结果'!$C$20*CY51&gt;CZ51,CZ51/'基本数据输入&amp;测算结果'!$C$20*CY51,CY51)))</f>
        <v>0</v>
      </c>
      <c r="DB51" s="49">
        <f t="shared" si="5"/>
        <v>0</v>
      </c>
      <c r="DC51" s="50"/>
      <c r="DD51" s="50"/>
    </row>
    <row r="52" customHeight="1" spans="1:108">
      <c r="A52" s="52" t="s">
        <v>106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  <c r="CM52" s="51"/>
      <c r="CN52" s="51"/>
      <c r="CO52" s="51"/>
      <c r="CP52" s="51"/>
      <c r="CQ52" s="51"/>
      <c r="CR52" s="51"/>
      <c r="CS52" s="51"/>
      <c r="CT52" s="42" t="str">
        <f>IFERROR(('基本数据输入&amp;测算结果'!$C$19*7-AVERAGE(B52:Y52,CP52:CS52)*7-'基本数据输入&amp;测算结果'!$C$23*7)/'基本数据输入&amp;测算结果'!$C$21*'基本数据输入&amp;测算结果'!$C$22,"无数据/数据缺失")</f>
        <v>无数据/数据缺失</v>
      </c>
      <c r="CU52" s="42">
        <f>IF(CT52&lt;0,0,IF(CT52="无数据/数据缺失",0%,IF(CT52&gt;'基本数据输入&amp;测算结果'!$C$20,100%,CT52/'基本数据输入&amp;测算结果'!$C$20)))</f>
        <v>0</v>
      </c>
      <c r="CV52" s="42" t="str">
        <f>IFERROR((AVERAGE(Z52:AG52)*2-'基本数据输入&amp;测算结果'!$C$24*2)/'基本数据输入&amp;测算结果'!$C$21/'基本数据输入&amp;测算结果'!$C$22,"无数据/数据缺失")</f>
        <v>无数据/数据缺失</v>
      </c>
      <c r="CW52" s="42">
        <f>IF(CV52&lt;0,0,IF(CV52="无数据/数据缺失",0%,IF(CV52&gt;'基本数据输入&amp;测算结果'!$C$20*CU52,CU52,CV52/'基本数据输入&amp;测算结果'!$C$20*CU52)))</f>
        <v>0</v>
      </c>
      <c r="CX52" s="42" t="str">
        <f>IFERROR(('基本数据输入&amp;测算结果'!$C$19*3-AVERAGE(AT52:BE52)*3-'基本数据输入&amp;测算结果'!$C$23*3)/'基本数据输入&amp;测算结果'!$C$21*'基本数据输入&amp;测算结果'!$C$22,"无数据/数据缺失")</f>
        <v>无数据/数据缺失</v>
      </c>
      <c r="CY52" s="42">
        <f>IF(CX52&lt;0,0,IF(CX52="无数据/数据缺失",0%,IF(CX52&gt;'基本数据输入&amp;测算结果'!$C$20,100%,CX52/'基本数据输入&amp;测算结果'!$C$20)))</f>
        <v>0</v>
      </c>
      <c r="CZ52" s="42" t="str">
        <f>IFERROR((AVERAGE(BN52:CK52)*6-'基本数据输入&amp;测算结果'!$C$24*6)/'基本数据输入&amp;测算结果'!$C$21/'基本数据输入&amp;测算结果'!$C$22,"无数据/数据缺失")</f>
        <v>无数据/数据缺失</v>
      </c>
      <c r="DA52" s="42">
        <f>IF(CZ52&lt;0,0,IF(CZ52="无数据/数据缺失",0,IF('基本数据输入&amp;测算结果'!$C$20*CY52&gt;CZ52,CZ52/'基本数据输入&amp;测算结果'!$C$20*CY52,CY52)))</f>
        <v>0</v>
      </c>
      <c r="DB52" s="49">
        <f t="shared" si="5"/>
        <v>0</v>
      </c>
      <c r="DC52" s="50"/>
      <c r="DD52" s="50"/>
    </row>
    <row r="53" customHeight="1" spans="1:108">
      <c r="A53" s="52" t="s">
        <v>107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  <c r="CM53" s="51"/>
      <c r="CN53" s="51"/>
      <c r="CO53" s="51"/>
      <c r="CP53" s="51"/>
      <c r="CQ53" s="51"/>
      <c r="CR53" s="51"/>
      <c r="CS53" s="51"/>
      <c r="CT53" s="42" t="str">
        <f>IFERROR(('基本数据输入&amp;测算结果'!$C$19*7-AVERAGE(B53:Y53,CP53:CS53)*7-'基本数据输入&amp;测算结果'!$C$23*7)/'基本数据输入&amp;测算结果'!$C$21*'基本数据输入&amp;测算结果'!$C$22,"无数据/数据缺失")</f>
        <v>无数据/数据缺失</v>
      </c>
      <c r="CU53" s="42">
        <f>IF(CT53&lt;0,0,IF(CT53="无数据/数据缺失",0%,IF(CT53&gt;'基本数据输入&amp;测算结果'!$C$20,100%,CT53/'基本数据输入&amp;测算结果'!$C$20)))</f>
        <v>0</v>
      </c>
      <c r="CV53" s="42" t="str">
        <f>IFERROR((AVERAGE(Z53:AG53)*2-'基本数据输入&amp;测算结果'!$C$24*2)/'基本数据输入&amp;测算结果'!$C$21/'基本数据输入&amp;测算结果'!$C$22,"无数据/数据缺失")</f>
        <v>无数据/数据缺失</v>
      </c>
      <c r="CW53" s="42">
        <f>IF(CV53&lt;0,0,IF(CV53="无数据/数据缺失",0%,IF(CV53&gt;'基本数据输入&amp;测算结果'!$C$20*CU53,CU53,CV53/'基本数据输入&amp;测算结果'!$C$20*CU53)))</f>
        <v>0</v>
      </c>
      <c r="CX53" s="42" t="str">
        <f>IFERROR(('基本数据输入&amp;测算结果'!$C$19*3-AVERAGE(AT53:BE53)*3-'基本数据输入&amp;测算结果'!$C$23*3)/'基本数据输入&amp;测算结果'!$C$21*'基本数据输入&amp;测算结果'!$C$22,"无数据/数据缺失")</f>
        <v>无数据/数据缺失</v>
      </c>
      <c r="CY53" s="42">
        <f>IF(CX53&lt;0,0,IF(CX53="无数据/数据缺失",0%,IF(CX53&gt;'基本数据输入&amp;测算结果'!$C$20,100%,CX53/'基本数据输入&amp;测算结果'!$C$20)))</f>
        <v>0</v>
      </c>
      <c r="CZ53" s="42" t="str">
        <f>IFERROR((AVERAGE(BN53:CK53)*6-'基本数据输入&amp;测算结果'!$C$24*6)/'基本数据输入&amp;测算结果'!$C$21/'基本数据输入&amp;测算结果'!$C$22,"无数据/数据缺失")</f>
        <v>无数据/数据缺失</v>
      </c>
      <c r="DA53" s="42">
        <f>IF(CZ53&lt;0,0,IF(CZ53="无数据/数据缺失",0,IF('基本数据输入&amp;测算结果'!$C$20*CY53&gt;CZ53,CZ53/'基本数据输入&amp;测算结果'!$C$20*CY53,CY53)))</f>
        <v>0</v>
      </c>
      <c r="DB53" s="49">
        <f t="shared" si="5"/>
        <v>0</v>
      </c>
      <c r="DC53" s="50"/>
      <c r="DD53" s="50"/>
    </row>
    <row r="54" customHeight="1" spans="1:108">
      <c r="A54" s="52" t="s">
        <v>108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  <c r="CB54" s="51"/>
      <c r="CC54" s="51"/>
      <c r="CD54" s="51"/>
      <c r="CE54" s="51"/>
      <c r="CF54" s="51"/>
      <c r="CG54" s="51"/>
      <c r="CH54" s="51"/>
      <c r="CI54" s="51"/>
      <c r="CJ54" s="51"/>
      <c r="CK54" s="51"/>
      <c r="CL54" s="51"/>
      <c r="CM54" s="51"/>
      <c r="CN54" s="51"/>
      <c r="CO54" s="51"/>
      <c r="CP54" s="51"/>
      <c r="CQ54" s="51"/>
      <c r="CR54" s="51"/>
      <c r="CS54" s="51"/>
      <c r="CT54" s="42" t="str">
        <f>IFERROR(('基本数据输入&amp;测算结果'!$C$19*7-AVERAGE(B54:Y54,CP54:CS54)*7-'基本数据输入&amp;测算结果'!$C$23*7)/'基本数据输入&amp;测算结果'!$C$21*'基本数据输入&amp;测算结果'!$C$22,"无数据/数据缺失")</f>
        <v>无数据/数据缺失</v>
      </c>
      <c r="CU54" s="42">
        <f>IF(CT54&lt;0,0,IF(CT54="无数据/数据缺失",0%,IF(CT54&gt;'基本数据输入&amp;测算结果'!$C$20,100%,CT54/'基本数据输入&amp;测算结果'!$C$20)))</f>
        <v>0</v>
      </c>
      <c r="CV54" s="42" t="str">
        <f>IFERROR((AVERAGE(Z54:AG54)*2-'基本数据输入&amp;测算结果'!$C$24*2)/'基本数据输入&amp;测算结果'!$C$21/'基本数据输入&amp;测算结果'!$C$22,"无数据/数据缺失")</f>
        <v>无数据/数据缺失</v>
      </c>
      <c r="CW54" s="42">
        <f>IF(CV54&lt;0,0,IF(CV54="无数据/数据缺失",0%,IF(CV54&gt;'基本数据输入&amp;测算结果'!$C$20*CU54,CU54,CV54/'基本数据输入&amp;测算结果'!$C$20*CU54)))</f>
        <v>0</v>
      </c>
      <c r="CX54" s="42" t="str">
        <f>IFERROR(('基本数据输入&amp;测算结果'!$C$19*3-AVERAGE(AT54:BE54)*3-'基本数据输入&amp;测算结果'!$C$23*3)/'基本数据输入&amp;测算结果'!$C$21*'基本数据输入&amp;测算结果'!$C$22,"无数据/数据缺失")</f>
        <v>无数据/数据缺失</v>
      </c>
      <c r="CY54" s="42">
        <f>IF(CX54&lt;0,0,IF(CX54="无数据/数据缺失",0%,IF(CX54&gt;'基本数据输入&amp;测算结果'!$C$20,100%,CX54/'基本数据输入&amp;测算结果'!$C$20)))</f>
        <v>0</v>
      </c>
      <c r="CZ54" s="42" t="str">
        <f>IFERROR((AVERAGE(BN54:CK54)*6-'基本数据输入&amp;测算结果'!$C$24*6)/'基本数据输入&amp;测算结果'!$C$21/'基本数据输入&amp;测算结果'!$C$22,"无数据/数据缺失")</f>
        <v>无数据/数据缺失</v>
      </c>
      <c r="DA54" s="42">
        <f>IF(CZ54&lt;0,0,IF(CZ54="无数据/数据缺失",0,IF('基本数据输入&amp;测算结果'!$C$20*CY54&gt;CZ54,CZ54/'基本数据输入&amp;测算结果'!$C$20*CY54,CY54)))</f>
        <v>0</v>
      </c>
      <c r="DB54" s="49">
        <f t="shared" si="5"/>
        <v>0</v>
      </c>
      <c r="DC54" s="50"/>
      <c r="DD54" s="50"/>
    </row>
    <row r="55" customHeight="1" spans="1:108">
      <c r="A55" s="52" t="s">
        <v>109</v>
      </c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1"/>
      <c r="CB55" s="51"/>
      <c r="CC55" s="51"/>
      <c r="CD55" s="51"/>
      <c r="CE55" s="51"/>
      <c r="CF55" s="51"/>
      <c r="CG55" s="51"/>
      <c r="CH55" s="51"/>
      <c r="CI55" s="51"/>
      <c r="CJ55" s="51"/>
      <c r="CK55" s="51"/>
      <c r="CL55" s="51"/>
      <c r="CM55" s="51"/>
      <c r="CN55" s="51"/>
      <c r="CO55" s="51"/>
      <c r="CP55" s="51"/>
      <c r="CQ55" s="51"/>
      <c r="CR55" s="51"/>
      <c r="CS55" s="51"/>
      <c r="CT55" s="42" t="str">
        <f>IFERROR(('基本数据输入&amp;测算结果'!$C$19*7-AVERAGE(B55:Y55,CP55:CS55)*7-'基本数据输入&amp;测算结果'!$C$23*7)/'基本数据输入&amp;测算结果'!$C$21*'基本数据输入&amp;测算结果'!$C$22,"无数据/数据缺失")</f>
        <v>无数据/数据缺失</v>
      </c>
      <c r="CU55" s="42">
        <f>IF(CT55&lt;0,0,IF(CT55="无数据/数据缺失",0%,IF(CT55&gt;'基本数据输入&amp;测算结果'!$C$20,100%,CT55/'基本数据输入&amp;测算结果'!$C$20)))</f>
        <v>0</v>
      </c>
      <c r="CV55" s="42" t="str">
        <f>IFERROR((AVERAGE(Z55:AG55)*2-'基本数据输入&amp;测算结果'!$C$24*2)/'基本数据输入&amp;测算结果'!$C$21/'基本数据输入&amp;测算结果'!$C$22,"无数据/数据缺失")</f>
        <v>无数据/数据缺失</v>
      </c>
      <c r="CW55" s="42">
        <f>IF(CV55&lt;0,0,IF(CV55="无数据/数据缺失",0%,IF(CV55&gt;'基本数据输入&amp;测算结果'!$C$20*CU55,CU55,CV55/'基本数据输入&amp;测算结果'!$C$20*CU55)))</f>
        <v>0</v>
      </c>
      <c r="CX55" s="42" t="str">
        <f>IFERROR(('基本数据输入&amp;测算结果'!$C$19*3-AVERAGE(AT55:BE55)*3-'基本数据输入&amp;测算结果'!$C$23*3)/'基本数据输入&amp;测算结果'!$C$21*'基本数据输入&amp;测算结果'!$C$22,"无数据/数据缺失")</f>
        <v>无数据/数据缺失</v>
      </c>
      <c r="CY55" s="42">
        <f>IF(CX55&lt;0,0,IF(CX55="无数据/数据缺失",0%,IF(CX55&gt;'基本数据输入&amp;测算结果'!$C$20,100%,CX55/'基本数据输入&amp;测算结果'!$C$20)))</f>
        <v>0</v>
      </c>
      <c r="CZ55" s="42" t="str">
        <f>IFERROR((AVERAGE(BN55:CK55)*6-'基本数据输入&amp;测算结果'!$C$24*6)/'基本数据输入&amp;测算结果'!$C$21/'基本数据输入&amp;测算结果'!$C$22,"无数据/数据缺失")</f>
        <v>无数据/数据缺失</v>
      </c>
      <c r="DA55" s="42">
        <f>IF(CZ55&lt;0,0,IF(CZ55="无数据/数据缺失",0,IF('基本数据输入&amp;测算结果'!$C$20*CY55&gt;CZ55,CZ55/'基本数据输入&amp;测算结果'!$C$20*CY55,CY55)))</f>
        <v>0</v>
      </c>
      <c r="DB55" s="49">
        <f t="shared" si="5"/>
        <v>0</v>
      </c>
      <c r="DC55" s="50"/>
      <c r="DD55" s="50"/>
    </row>
    <row r="56" customHeight="1" spans="1:108">
      <c r="A56" s="52" t="s">
        <v>110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  <c r="BX56" s="51"/>
      <c r="BY56" s="51"/>
      <c r="BZ56" s="51"/>
      <c r="CA56" s="51"/>
      <c r="CB56" s="51"/>
      <c r="CC56" s="51"/>
      <c r="CD56" s="51"/>
      <c r="CE56" s="51"/>
      <c r="CF56" s="51"/>
      <c r="CG56" s="51"/>
      <c r="CH56" s="51"/>
      <c r="CI56" s="51"/>
      <c r="CJ56" s="51"/>
      <c r="CK56" s="51"/>
      <c r="CL56" s="51"/>
      <c r="CM56" s="51"/>
      <c r="CN56" s="51"/>
      <c r="CO56" s="51"/>
      <c r="CP56" s="51"/>
      <c r="CQ56" s="51"/>
      <c r="CR56" s="51"/>
      <c r="CS56" s="51"/>
      <c r="CT56" s="42" t="str">
        <f>IFERROR(('基本数据输入&amp;测算结果'!$C$19*7-AVERAGE(B56:Y56,CP56:CS56)*7-'基本数据输入&amp;测算结果'!$C$23*7)/'基本数据输入&amp;测算结果'!$C$21*'基本数据输入&amp;测算结果'!$C$22,"无数据/数据缺失")</f>
        <v>无数据/数据缺失</v>
      </c>
      <c r="CU56" s="42">
        <f>IF(CT56&lt;0,0,IF(CT56="无数据/数据缺失",0%,IF(CT56&gt;'基本数据输入&amp;测算结果'!$C$20,100%,CT56/'基本数据输入&amp;测算结果'!$C$20)))</f>
        <v>0</v>
      </c>
      <c r="CV56" s="42" t="str">
        <f>IFERROR((AVERAGE(Z56:AG56)*2-'基本数据输入&amp;测算结果'!$C$24*2)/'基本数据输入&amp;测算结果'!$C$21/'基本数据输入&amp;测算结果'!$C$22,"无数据/数据缺失")</f>
        <v>无数据/数据缺失</v>
      </c>
      <c r="CW56" s="42">
        <f>IF(CV56&lt;0,0,IF(CV56="无数据/数据缺失",0%,IF(CV56&gt;'基本数据输入&amp;测算结果'!$C$20*CU56,CU56,CV56/'基本数据输入&amp;测算结果'!$C$20*CU56)))</f>
        <v>0</v>
      </c>
      <c r="CX56" s="42" t="str">
        <f>IFERROR(('基本数据输入&amp;测算结果'!$C$19*3-AVERAGE(AT56:BE56)*3-'基本数据输入&amp;测算结果'!$C$23*3)/'基本数据输入&amp;测算结果'!$C$21*'基本数据输入&amp;测算结果'!$C$22,"无数据/数据缺失")</f>
        <v>无数据/数据缺失</v>
      </c>
      <c r="CY56" s="42">
        <f>IF(CX56&lt;0,0,IF(CX56="无数据/数据缺失",0%,IF(CX56&gt;'基本数据输入&amp;测算结果'!$C$20,100%,CX56/'基本数据输入&amp;测算结果'!$C$20)))</f>
        <v>0</v>
      </c>
      <c r="CZ56" s="42" t="str">
        <f>IFERROR((AVERAGE(BN56:CK56)*6-'基本数据输入&amp;测算结果'!$C$24*6)/'基本数据输入&amp;测算结果'!$C$21/'基本数据输入&amp;测算结果'!$C$22,"无数据/数据缺失")</f>
        <v>无数据/数据缺失</v>
      </c>
      <c r="DA56" s="42">
        <f>IF(CZ56&lt;0,0,IF(CZ56="无数据/数据缺失",0,IF('基本数据输入&amp;测算结果'!$C$20*CY56&gt;CZ56,CZ56/'基本数据输入&amp;测算结果'!$C$20*CY56,CY56)))</f>
        <v>0</v>
      </c>
      <c r="DB56" s="49">
        <f t="shared" si="5"/>
        <v>0</v>
      </c>
      <c r="DC56" s="50"/>
      <c r="DD56" s="50"/>
    </row>
    <row r="57" customHeight="1" spans="1:108">
      <c r="A57" s="52" t="s">
        <v>111</v>
      </c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  <c r="BQ57" s="51"/>
      <c r="BR57" s="51"/>
      <c r="BS57" s="51"/>
      <c r="BT57" s="51"/>
      <c r="BU57" s="51"/>
      <c r="BV57" s="51"/>
      <c r="BW57" s="51"/>
      <c r="BX57" s="51"/>
      <c r="BY57" s="51"/>
      <c r="BZ57" s="51"/>
      <c r="CA57" s="51"/>
      <c r="CB57" s="51"/>
      <c r="CC57" s="51"/>
      <c r="CD57" s="51"/>
      <c r="CE57" s="51"/>
      <c r="CF57" s="51"/>
      <c r="CG57" s="51"/>
      <c r="CH57" s="51"/>
      <c r="CI57" s="51"/>
      <c r="CJ57" s="51"/>
      <c r="CK57" s="51"/>
      <c r="CL57" s="51"/>
      <c r="CM57" s="51"/>
      <c r="CN57" s="51"/>
      <c r="CO57" s="51"/>
      <c r="CP57" s="51"/>
      <c r="CQ57" s="51"/>
      <c r="CR57" s="51"/>
      <c r="CS57" s="51"/>
      <c r="CT57" s="42" t="str">
        <f>IFERROR(('基本数据输入&amp;测算结果'!$C$19*7-AVERAGE(B57:Y57,CP57:CS57)*7-'基本数据输入&amp;测算结果'!$C$23*7)/'基本数据输入&amp;测算结果'!$C$21*'基本数据输入&amp;测算结果'!$C$22,"无数据/数据缺失")</f>
        <v>无数据/数据缺失</v>
      </c>
      <c r="CU57" s="42">
        <f>IF(CT57&lt;0,0,IF(CT57="无数据/数据缺失",0%,IF(CT57&gt;'基本数据输入&amp;测算结果'!$C$20,100%,CT57/'基本数据输入&amp;测算结果'!$C$20)))</f>
        <v>0</v>
      </c>
      <c r="CV57" s="42" t="str">
        <f>IFERROR((AVERAGE(Z57:AG57)*2-'基本数据输入&amp;测算结果'!$C$24*2)/'基本数据输入&amp;测算结果'!$C$21/'基本数据输入&amp;测算结果'!$C$22,"无数据/数据缺失")</f>
        <v>无数据/数据缺失</v>
      </c>
      <c r="CW57" s="42">
        <f>IF(CV57&lt;0,0,IF(CV57="无数据/数据缺失",0%,IF(CV57&gt;'基本数据输入&amp;测算结果'!$C$20*CU57,CU57,CV57/'基本数据输入&amp;测算结果'!$C$20*CU57)))</f>
        <v>0</v>
      </c>
      <c r="CX57" s="42" t="str">
        <f>IFERROR(('基本数据输入&amp;测算结果'!$C$19*3-AVERAGE(AT57:BE57)*3-'基本数据输入&amp;测算结果'!$C$23*3)/'基本数据输入&amp;测算结果'!$C$21*'基本数据输入&amp;测算结果'!$C$22,"无数据/数据缺失")</f>
        <v>无数据/数据缺失</v>
      </c>
      <c r="CY57" s="42">
        <f>IF(CX57&lt;0,0,IF(CX57="无数据/数据缺失",0%,IF(CX57&gt;'基本数据输入&amp;测算结果'!$C$20,100%,CX57/'基本数据输入&amp;测算结果'!$C$20)))</f>
        <v>0</v>
      </c>
      <c r="CZ57" s="42" t="str">
        <f>IFERROR((AVERAGE(BN57:CK57)*6-'基本数据输入&amp;测算结果'!$C$24*6)/'基本数据输入&amp;测算结果'!$C$21/'基本数据输入&amp;测算结果'!$C$22,"无数据/数据缺失")</f>
        <v>无数据/数据缺失</v>
      </c>
      <c r="DA57" s="42">
        <f>IF(CZ57&lt;0,0,IF(CZ57="无数据/数据缺失",0,IF('基本数据输入&amp;测算结果'!$C$20*CY57&gt;CZ57,CZ57/'基本数据输入&amp;测算结果'!$C$20*CY57,CY57)))</f>
        <v>0</v>
      </c>
      <c r="DB57" s="49">
        <f t="shared" si="5"/>
        <v>0</v>
      </c>
      <c r="DC57" s="50"/>
      <c r="DD57" s="50"/>
    </row>
    <row r="58" customHeight="1" spans="1:108">
      <c r="A58" s="52" t="s">
        <v>112</v>
      </c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  <c r="BQ58" s="51"/>
      <c r="BR58" s="51"/>
      <c r="BS58" s="51"/>
      <c r="BT58" s="51"/>
      <c r="BU58" s="51"/>
      <c r="BV58" s="51"/>
      <c r="BW58" s="51"/>
      <c r="BX58" s="51"/>
      <c r="BY58" s="51"/>
      <c r="BZ58" s="51"/>
      <c r="CA58" s="51"/>
      <c r="CB58" s="51"/>
      <c r="CC58" s="51"/>
      <c r="CD58" s="51"/>
      <c r="CE58" s="51"/>
      <c r="CF58" s="51"/>
      <c r="CG58" s="51"/>
      <c r="CH58" s="51"/>
      <c r="CI58" s="51"/>
      <c r="CJ58" s="51"/>
      <c r="CK58" s="51"/>
      <c r="CL58" s="51"/>
      <c r="CM58" s="51"/>
      <c r="CN58" s="51"/>
      <c r="CO58" s="51"/>
      <c r="CP58" s="51"/>
      <c r="CQ58" s="51"/>
      <c r="CR58" s="51"/>
      <c r="CS58" s="51"/>
      <c r="CT58" s="42" t="str">
        <f>IFERROR(('基本数据输入&amp;测算结果'!$C$19*7-AVERAGE(B58:Y58,CP58:CS58)*7-'基本数据输入&amp;测算结果'!$C$23*7)/'基本数据输入&amp;测算结果'!$C$21*'基本数据输入&amp;测算结果'!$C$22,"无数据/数据缺失")</f>
        <v>无数据/数据缺失</v>
      </c>
      <c r="CU58" s="42">
        <f>IF(CT58&lt;0,0,IF(CT58="无数据/数据缺失",0%,IF(CT58&gt;'基本数据输入&amp;测算结果'!$C$20,100%,CT58/'基本数据输入&amp;测算结果'!$C$20)))</f>
        <v>0</v>
      </c>
      <c r="CV58" s="42" t="str">
        <f>IFERROR((AVERAGE(Z58:AG58)*2-'基本数据输入&amp;测算结果'!$C$24*2)/'基本数据输入&amp;测算结果'!$C$21/'基本数据输入&amp;测算结果'!$C$22,"无数据/数据缺失")</f>
        <v>无数据/数据缺失</v>
      </c>
      <c r="CW58" s="42">
        <f>IF(CV58&lt;0,0,IF(CV58="无数据/数据缺失",0%,IF(CV58&gt;'基本数据输入&amp;测算结果'!$C$20*CU58,CU58,CV58/'基本数据输入&amp;测算结果'!$C$20*CU58)))</f>
        <v>0</v>
      </c>
      <c r="CX58" s="42" t="str">
        <f>IFERROR(('基本数据输入&amp;测算结果'!$C$19*3-AVERAGE(AT58:BE58)*3-'基本数据输入&amp;测算结果'!$C$23*3)/'基本数据输入&amp;测算结果'!$C$21*'基本数据输入&amp;测算结果'!$C$22,"无数据/数据缺失")</f>
        <v>无数据/数据缺失</v>
      </c>
      <c r="CY58" s="42">
        <f>IF(CX58&lt;0,0,IF(CX58="无数据/数据缺失",0%,IF(CX58&gt;'基本数据输入&amp;测算结果'!$C$20,100%,CX58/'基本数据输入&amp;测算结果'!$C$20)))</f>
        <v>0</v>
      </c>
      <c r="CZ58" s="42" t="str">
        <f>IFERROR((AVERAGE(BN58:CK58)*6-'基本数据输入&amp;测算结果'!$C$24*6)/'基本数据输入&amp;测算结果'!$C$21/'基本数据输入&amp;测算结果'!$C$22,"无数据/数据缺失")</f>
        <v>无数据/数据缺失</v>
      </c>
      <c r="DA58" s="42">
        <f>IF(CZ58&lt;0,0,IF(CZ58="无数据/数据缺失",0,IF('基本数据输入&amp;测算结果'!$C$20*CY58&gt;CZ58,CZ58/'基本数据输入&amp;测算结果'!$C$20*CY58,CY58)))</f>
        <v>0</v>
      </c>
      <c r="DB58" s="49">
        <f t="shared" si="5"/>
        <v>0</v>
      </c>
      <c r="DC58" s="50"/>
      <c r="DD58" s="50"/>
    </row>
    <row r="59" customHeight="1" spans="1:108">
      <c r="A59" s="52" t="s">
        <v>113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  <c r="CF59" s="51"/>
      <c r="CG59" s="51"/>
      <c r="CH59" s="51"/>
      <c r="CI59" s="51"/>
      <c r="CJ59" s="51"/>
      <c r="CK59" s="51"/>
      <c r="CL59" s="51"/>
      <c r="CM59" s="51"/>
      <c r="CN59" s="51"/>
      <c r="CO59" s="51"/>
      <c r="CP59" s="51"/>
      <c r="CQ59" s="51"/>
      <c r="CR59" s="51"/>
      <c r="CS59" s="51"/>
      <c r="CT59" s="42" t="str">
        <f>IFERROR(('基本数据输入&amp;测算结果'!$C$19*7-AVERAGE(B59:Y59,CP59:CS59)*7-'基本数据输入&amp;测算结果'!$C$23*7)/'基本数据输入&amp;测算结果'!$C$21*'基本数据输入&amp;测算结果'!$C$22,"无数据/数据缺失")</f>
        <v>无数据/数据缺失</v>
      </c>
      <c r="CU59" s="42">
        <f>IF(CT59&lt;0,0,IF(CT59="无数据/数据缺失",0%,IF(CT59&gt;'基本数据输入&amp;测算结果'!$C$20,100%,CT59/'基本数据输入&amp;测算结果'!$C$20)))</f>
        <v>0</v>
      </c>
      <c r="CV59" s="42" t="str">
        <f>IFERROR((AVERAGE(Z59:AG59)*2-'基本数据输入&amp;测算结果'!$C$24*2)/'基本数据输入&amp;测算结果'!$C$21/'基本数据输入&amp;测算结果'!$C$22,"无数据/数据缺失")</f>
        <v>无数据/数据缺失</v>
      </c>
      <c r="CW59" s="42">
        <f>IF(CV59&lt;0,0,IF(CV59="无数据/数据缺失",0%,IF(CV59&gt;'基本数据输入&amp;测算结果'!$C$20*CU59,CU59,CV59/'基本数据输入&amp;测算结果'!$C$20*CU59)))</f>
        <v>0</v>
      </c>
      <c r="CX59" s="42" t="str">
        <f>IFERROR(('基本数据输入&amp;测算结果'!$C$19*3-AVERAGE(AT59:BE59)*3-'基本数据输入&amp;测算结果'!$C$23*3)/'基本数据输入&amp;测算结果'!$C$21*'基本数据输入&amp;测算结果'!$C$22,"无数据/数据缺失")</f>
        <v>无数据/数据缺失</v>
      </c>
      <c r="CY59" s="42">
        <f>IF(CX59&lt;0,0,IF(CX59="无数据/数据缺失",0%,IF(CX59&gt;'基本数据输入&amp;测算结果'!$C$20,100%,CX59/'基本数据输入&amp;测算结果'!$C$20)))</f>
        <v>0</v>
      </c>
      <c r="CZ59" s="42" t="str">
        <f>IFERROR((AVERAGE(BN59:CK59)*6-'基本数据输入&amp;测算结果'!$C$24*6)/'基本数据输入&amp;测算结果'!$C$21/'基本数据输入&amp;测算结果'!$C$22,"无数据/数据缺失")</f>
        <v>无数据/数据缺失</v>
      </c>
      <c r="DA59" s="42">
        <f>IF(CZ59&lt;0,0,IF(CZ59="无数据/数据缺失",0,IF('基本数据输入&amp;测算结果'!$C$20*CY59&gt;CZ59,CZ59/'基本数据输入&amp;测算结果'!$C$20*CY59,CY59)))</f>
        <v>0</v>
      </c>
      <c r="DB59" s="49">
        <f t="shared" si="5"/>
        <v>0</v>
      </c>
      <c r="DC59" s="50"/>
      <c r="DD59" s="50"/>
    </row>
    <row r="60" s="42" customFormat="1" customHeight="1" spans="1:108">
      <c r="A60" s="52" t="s">
        <v>114</v>
      </c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  <c r="BQ60" s="51"/>
      <c r="BR60" s="51"/>
      <c r="BS60" s="51"/>
      <c r="BT60" s="51"/>
      <c r="BU60" s="51"/>
      <c r="BV60" s="51"/>
      <c r="BW60" s="51"/>
      <c r="BX60" s="51"/>
      <c r="BY60" s="51"/>
      <c r="BZ60" s="51"/>
      <c r="CA60" s="51"/>
      <c r="CB60" s="51"/>
      <c r="CC60" s="51"/>
      <c r="CD60" s="51"/>
      <c r="CE60" s="51"/>
      <c r="CF60" s="51"/>
      <c r="CG60" s="51"/>
      <c r="CH60" s="51"/>
      <c r="CI60" s="51"/>
      <c r="CJ60" s="51"/>
      <c r="CK60" s="51"/>
      <c r="CL60" s="51"/>
      <c r="CM60" s="51"/>
      <c r="CN60" s="51"/>
      <c r="CO60" s="51"/>
      <c r="CP60" s="51"/>
      <c r="CQ60" s="51"/>
      <c r="CR60" s="51"/>
      <c r="CS60" s="51"/>
      <c r="CT60" s="42" t="str">
        <f>IFERROR(('基本数据输入&amp;测算结果'!$C$19*7-AVERAGE(B60:Y60,CP60:CS60)*7-'基本数据输入&amp;测算结果'!$C$23*7)/'基本数据输入&amp;测算结果'!$C$21*'基本数据输入&amp;测算结果'!$C$22,"无数据/数据缺失")</f>
        <v>无数据/数据缺失</v>
      </c>
      <c r="CU60" s="42">
        <f>IF(CT60&lt;0,0,IF(CT60="无数据/数据缺失",0%,IF(CT60&gt;'基本数据输入&amp;测算结果'!$C$20,100%,CT60/'基本数据输入&amp;测算结果'!$C$20)))</f>
        <v>0</v>
      </c>
      <c r="CV60" s="42" t="str">
        <f>IFERROR((AVERAGE(Z60:AG60)*2-'基本数据输入&amp;测算结果'!$C$24*2)/'基本数据输入&amp;测算结果'!$C$21/'基本数据输入&amp;测算结果'!$C$22,"无数据/数据缺失")</f>
        <v>无数据/数据缺失</v>
      </c>
      <c r="CW60" s="42">
        <f>IF(CV60&lt;0,0,IF(CV60="无数据/数据缺失",0%,IF(CV60&gt;'基本数据输入&amp;测算结果'!$C$20*CU60,CU60,CV60/'基本数据输入&amp;测算结果'!$C$20*CU60)))</f>
        <v>0</v>
      </c>
      <c r="CX60" s="42" t="str">
        <f>IFERROR(('基本数据输入&amp;测算结果'!$C$19*3-AVERAGE(AT60:BE60)*3-'基本数据输入&amp;测算结果'!$C$23*3)/'基本数据输入&amp;测算结果'!$C$21*'基本数据输入&amp;测算结果'!$C$22,"无数据/数据缺失")</f>
        <v>无数据/数据缺失</v>
      </c>
      <c r="CY60" s="42">
        <f>IF(CX60&lt;0,0,IF(CX60="无数据/数据缺失",0%,IF(CX60&gt;'基本数据输入&amp;测算结果'!$C$20,100%,CX60/'基本数据输入&amp;测算结果'!$C$20)))</f>
        <v>0</v>
      </c>
      <c r="CZ60" s="42" t="str">
        <f>IFERROR((AVERAGE(BN60:CK60)*6-'基本数据输入&amp;测算结果'!$C$24*6)/'基本数据输入&amp;测算结果'!$C$21/'基本数据输入&amp;测算结果'!$C$22,"无数据/数据缺失")</f>
        <v>无数据/数据缺失</v>
      </c>
      <c r="DA60" s="42">
        <f>IF(CZ60&lt;0,0,IF(CZ60="无数据/数据缺失",0,IF('基本数据输入&amp;测算结果'!$C$20*CY60&gt;CZ60,CZ60/'基本数据输入&amp;测算结果'!$C$20*CY60,CY60)))</f>
        <v>0</v>
      </c>
      <c r="DB60" s="49">
        <f t="shared" si="5"/>
        <v>0</v>
      </c>
      <c r="DC60" s="50"/>
      <c r="DD60" s="50"/>
    </row>
    <row r="61" customHeight="1" spans="1:108">
      <c r="A61" s="52" t="s">
        <v>115</v>
      </c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1"/>
      <c r="BP61" s="51"/>
      <c r="BQ61" s="51"/>
      <c r="BR61" s="51"/>
      <c r="BS61" s="51"/>
      <c r="BT61" s="51"/>
      <c r="BU61" s="51"/>
      <c r="BV61" s="51"/>
      <c r="BW61" s="51"/>
      <c r="BX61" s="51"/>
      <c r="BY61" s="51"/>
      <c r="BZ61" s="51"/>
      <c r="CA61" s="51"/>
      <c r="CB61" s="51"/>
      <c r="CC61" s="51"/>
      <c r="CD61" s="51"/>
      <c r="CE61" s="51"/>
      <c r="CF61" s="51"/>
      <c r="CG61" s="51"/>
      <c r="CH61" s="51"/>
      <c r="CI61" s="51"/>
      <c r="CJ61" s="51"/>
      <c r="CK61" s="51"/>
      <c r="CL61" s="51"/>
      <c r="CM61" s="51"/>
      <c r="CN61" s="51"/>
      <c r="CO61" s="51"/>
      <c r="CP61" s="51"/>
      <c r="CQ61" s="51"/>
      <c r="CR61" s="51"/>
      <c r="CS61" s="51"/>
      <c r="CT61" s="42" t="str">
        <f>IFERROR(('基本数据输入&amp;测算结果'!$C$19*7-AVERAGE(B61:Y61,CP61:CS61)*7-'基本数据输入&amp;测算结果'!$C$23*7)/'基本数据输入&amp;测算结果'!$C$21*'基本数据输入&amp;测算结果'!$C$22,"无数据/数据缺失")</f>
        <v>无数据/数据缺失</v>
      </c>
      <c r="CU61" s="42">
        <f>IF(CT61&lt;0,0,IF(CT61="无数据/数据缺失",0%,IF(CT61&gt;'基本数据输入&amp;测算结果'!$C$20,100%,CT61/'基本数据输入&amp;测算结果'!$C$20)))</f>
        <v>0</v>
      </c>
      <c r="CV61" s="42" t="str">
        <f>IFERROR((AVERAGE(Z61:AG61)*2-'基本数据输入&amp;测算结果'!$C$24*2)/'基本数据输入&amp;测算结果'!$C$21/'基本数据输入&amp;测算结果'!$C$22,"无数据/数据缺失")</f>
        <v>无数据/数据缺失</v>
      </c>
      <c r="CW61" s="42">
        <f>IF(CV61&lt;0,0,IF(CV61="无数据/数据缺失",0%,IF(CV61&gt;'基本数据输入&amp;测算结果'!$C$20*CU61,CU61,CV61/'基本数据输入&amp;测算结果'!$C$20*CU61)))</f>
        <v>0</v>
      </c>
      <c r="CX61" s="42" t="str">
        <f>IFERROR(('基本数据输入&amp;测算结果'!$C$19*3-AVERAGE(AT61:BE61)*3-'基本数据输入&amp;测算结果'!$C$23*3)/'基本数据输入&amp;测算结果'!$C$21*'基本数据输入&amp;测算结果'!$C$22,"无数据/数据缺失")</f>
        <v>无数据/数据缺失</v>
      </c>
      <c r="CY61" s="42">
        <f>IF(CX61&lt;0,0,IF(CX61="无数据/数据缺失",0%,IF(CX61&gt;'基本数据输入&amp;测算结果'!$C$20,100%,CX61/'基本数据输入&amp;测算结果'!$C$20)))</f>
        <v>0</v>
      </c>
      <c r="CZ61" s="42" t="str">
        <f>IFERROR((AVERAGE(BN61:CK61)*6-'基本数据输入&amp;测算结果'!$C$24*6)/'基本数据输入&amp;测算结果'!$C$21/'基本数据输入&amp;测算结果'!$C$22,"无数据/数据缺失")</f>
        <v>无数据/数据缺失</v>
      </c>
      <c r="DA61" s="42">
        <f>IF(CZ61&lt;0,0,IF(CZ61="无数据/数据缺失",0,IF('基本数据输入&amp;测算结果'!$C$20*CY61&gt;CZ61,CZ61/'基本数据输入&amp;测算结果'!$C$20*CY61,CY61)))</f>
        <v>0</v>
      </c>
      <c r="DB61" s="49">
        <f t="shared" si="5"/>
        <v>0</v>
      </c>
      <c r="DC61" s="50"/>
      <c r="DD61" s="50"/>
    </row>
    <row r="62" customHeight="1" spans="1:108">
      <c r="A62" s="52" t="s">
        <v>116</v>
      </c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  <c r="BQ62" s="51"/>
      <c r="BR62" s="51"/>
      <c r="BS62" s="51"/>
      <c r="BT62" s="51"/>
      <c r="BU62" s="51"/>
      <c r="BV62" s="51"/>
      <c r="BW62" s="51"/>
      <c r="BX62" s="51"/>
      <c r="BY62" s="51"/>
      <c r="BZ62" s="51"/>
      <c r="CA62" s="51"/>
      <c r="CB62" s="51"/>
      <c r="CC62" s="51"/>
      <c r="CD62" s="51"/>
      <c r="CE62" s="51"/>
      <c r="CF62" s="51"/>
      <c r="CG62" s="51"/>
      <c r="CH62" s="51"/>
      <c r="CI62" s="51"/>
      <c r="CJ62" s="51"/>
      <c r="CK62" s="51"/>
      <c r="CL62" s="51"/>
      <c r="CM62" s="51"/>
      <c r="CN62" s="51"/>
      <c r="CO62" s="51"/>
      <c r="CP62" s="51"/>
      <c r="CQ62" s="51"/>
      <c r="CR62" s="51"/>
      <c r="CS62" s="51"/>
      <c r="CT62" s="42" t="str">
        <f>IFERROR(('基本数据输入&amp;测算结果'!$C$19*7-AVERAGE(B62:Y62,CP62:CS62)*7-'基本数据输入&amp;测算结果'!$C$23*7)/'基本数据输入&amp;测算结果'!$C$21*'基本数据输入&amp;测算结果'!$C$22,"无数据/数据缺失")</f>
        <v>无数据/数据缺失</v>
      </c>
      <c r="CU62" s="42">
        <f>IF(CT62&lt;0,0,IF(CT62="无数据/数据缺失",0%,IF(CT62&gt;'基本数据输入&amp;测算结果'!$C$20,100%,CT62/'基本数据输入&amp;测算结果'!$C$20)))</f>
        <v>0</v>
      </c>
      <c r="CV62" s="42" t="str">
        <f>IFERROR((AVERAGE(Z62:AG62)*2-'基本数据输入&amp;测算结果'!$C$24*2)/'基本数据输入&amp;测算结果'!$C$21/'基本数据输入&amp;测算结果'!$C$22,"无数据/数据缺失")</f>
        <v>无数据/数据缺失</v>
      </c>
      <c r="CW62" s="42">
        <f>IF(CV62&lt;0,0,IF(CV62="无数据/数据缺失",0%,IF(CV62&gt;'基本数据输入&amp;测算结果'!$C$20*CU62,CU62,CV62/'基本数据输入&amp;测算结果'!$C$20*CU62)))</f>
        <v>0</v>
      </c>
      <c r="CX62" s="42" t="str">
        <f>IFERROR(('基本数据输入&amp;测算结果'!$C$19*3-AVERAGE(AT62:BE62)*3-'基本数据输入&amp;测算结果'!$C$23*3)/'基本数据输入&amp;测算结果'!$C$21*'基本数据输入&amp;测算结果'!$C$22,"无数据/数据缺失")</f>
        <v>无数据/数据缺失</v>
      </c>
      <c r="CY62" s="42">
        <f>IF(CX62&lt;0,0,IF(CX62="无数据/数据缺失",0%,IF(CX62&gt;'基本数据输入&amp;测算结果'!$C$20,100%,CX62/'基本数据输入&amp;测算结果'!$C$20)))</f>
        <v>0</v>
      </c>
      <c r="CZ62" s="42" t="str">
        <f>IFERROR((AVERAGE(BN62:CK62)*6-'基本数据输入&amp;测算结果'!$C$24*6)/'基本数据输入&amp;测算结果'!$C$21/'基本数据输入&amp;测算结果'!$C$22,"无数据/数据缺失")</f>
        <v>无数据/数据缺失</v>
      </c>
      <c r="DA62" s="42">
        <f>IF(CZ62&lt;0,0,IF(CZ62="无数据/数据缺失",0,IF('基本数据输入&amp;测算结果'!$C$20*CY62&gt;CZ62,CZ62/'基本数据输入&amp;测算结果'!$C$20*CY62,CY62)))</f>
        <v>0</v>
      </c>
      <c r="DB62" s="49">
        <f t="shared" si="5"/>
        <v>0</v>
      </c>
      <c r="DC62" s="50"/>
      <c r="DD62" s="50"/>
    </row>
    <row r="63" customHeight="1" spans="1:108">
      <c r="A63" s="52" t="s">
        <v>117</v>
      </c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  <c r="CM63" s="51"/>
      <c r="CN63" s="51"/>
      <c r="CO63" s="51"/>
      <c r="CP63" s="51"/>
      <c r="CQ63" s="51"/>
      <c r="CR63" s="51"/>
      <c r="CS63" s="51"/>
      <c r="CT63" s="42" t="str">
        <f>IFERROR(('基本数据输入&amp;测算结果'!$C$19*7-AVERAGE(B63:Y63,CP63:CS63)*7-'基本数据输入&amp;测算结果'!$C$23*7)/'基本数据输入&amp;测算结果'!$C$21*'基本数据输入&amp;测算结果'!$C$22,"无数据/数据缺失")</f>
        <v>无数据/数据缺失</v>
      </c>
      <c r="CU63" s="42">
        <f>IF(CT63&lt;0,0,IF(CT63="无数据/数据缺失",0%,IF(CT63&gt;'基本数据输入&amp;测算结果'!$C$20,100%,CT63/'基本数据输入&amp;测算结果'!$C$20)))</f>
        <v>0</v>
      </c>
      <c r="CV63" s="42" t="str">
        <f>IFERROR((AVERAGE(Z63:AG63)*2-'基本数据输入&amp;测算结果'!$C$24*2)/'基本数据输入&amp;测算结果'!$C$21/'基本数据输入&amp;测算结果'!$C$22,"无数据/数据缺失")</f>
        <v>无数据/数据缺失</v>
      </c>
      <c r="CW63" s="42">
        <f>IF(CV63&lt;0,0,IF(CV63="无数据/数据缺失",0%,IF(CV63&gt;'基本数据输入&amp;测算结果'!$C$20*CU63,CU63,CV63/'基本数据输入&amp;测算结果'!$C$20*CU63)))</f>
        <v>0</v>
      </c>
      <c r="CX63" s="42" t="str">
        <f>IFERROR(('基本数据输入&amp;测算结果'!$C$19*3-AVERAGE(AT63:BE63)*3-'基本数据输入&amp;测算结果'!$C$23*3)/'基本数据输入&amp;测算结果'!$C$21*'基本数据输入&amp;测算结果'!$C$22,"无数据/数据缺失")</f>
        <v>无数据/数据缺失</v>
      </c>
      <c r="CY63" s="42">
        <f>IF(CX63&lt;0,0,IF(CX63="无数据/数据缺失",0%,IF(CX63&gt;'基本数据输入&amp;测算结果'!$C$20,100%,CX63/'基本数据输入&amp;测算结果'!$C$20)))</f>
        <v>0</v>
      </c>
      <c r="CZ63" s="42" t="str">
        <f>IFERROR((AVERAGE(BN63:CK63)*6-'基本数据输入&amp;测算结果'!$C$24*6)/'基本数据输入&amp;测算结果'!$C$21/'基本数据输入&amp;测算结果'!$C$22,"无数据/数据缺失")</f>
        <v>无数据/数据缺失</v>
      </c>
      <c r="DA63" s="42">
        <f>IF(CZ63&lt;0,0,IF(CZ63="无数据/数据缺失",0,IF('基本数据输入&amp;测算结果'!$C$20*CY63&gt;CZ63,CZ63/'基本数据输入&amp;测算结果'!$C$20*CY63,CY63)))</f>
        <v>0</v>
      </c>
      <c r="DB63" s="49">
        <f t="shared" si="5"/>
        <v>0</v>
      </c>
      <c r="DC63" s="50"/>
      <c r="DD63" s="50"/>
    </row>
    <row r="64" customHeight="1" spans="1:108">
      <c r="A64" s="52" t="s">
        <v>118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  <c r="BQ64" s="51"/>
      <c r="BR64" s="51"/>
      <c r="BS64" s="51"/>
      <c r="BT64" s="51"/>
      <c r="BU64" s="51"/>
      <c r="BV64" s="51"/>
      <c r="BW64" s="51"/>
      <c r="BX64" s="51"/>
      <c r="BY64" s="51"/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  <c r="CM64" s="51"/>
      <c r="CN64" s="51"/>
      <c r="CO64" s="51"/>
      <c r="CP64" s="51"/>
      <c r="CQ64" s="51"/>
      <c r="CR64" s="51"/>
      <c r="CS64" s="51"/>
      <c r="CT64" s="42" t="str">
        <f>IFERROR(('基本数据输入&amp;测算结果'!$C$19*7-AVERAGE(B64:Y64,CP64:CS64)*7-'基本数据输入&amp;测算结果'!$C$23*7)/'基本数据输入&amp;测算结果'!$C$21*'基本数据输入&amp;测算结果'!$C$22,"无数据/数据缺失")</f>
        <v>无数据/数据缺失</v>
      </c>
      <c r="CU64" s="42">
        <f>IF(CT64&lt;0,0,IF(CT64="无数据/数据缺失",0%,IF(CT64&gt;'基本数据输入&amp;测算结果'!$C$20,100%,CT64/'基本数据输入&amp;测算结果'!$C$20)))</f>
        <v>0</v>
      </c>
      <c r="CV64" s="42" t="str">
        <f>IFERROR((AVERAGE(Z64:AG64)*2-'基本数据输入&amp;测算结果'!$C$24*2)/'基本数据输入&amp;测算结果'!$C$21/'基本数据输入&amp;测算结果'!$C$22,"无数据/数据缺失")</f>
        <v>无数据/数据缺失</v>
      </c>
      <c r="CW64" s="42">
        <f>IF(CV64&lt;0,0,IF(CV64="无数据/数据缺失",0%,IF(CV64&gt;'基本数据输入&amp;测算结果'!$C$20*CU64,CU64,CV64/'基本数据输入&amp;测算结果'!$C$20*CU64)))</f>
        <v>0</v>
      </c>
      <c r="CX64" s="42" t="str">
        <f>IFERROR(('基本数据输入&amp;测算结果'!$C$19*3-AVERAGE(AT64:BE64)*3-'基本数据输入&amp;测算结果'!$C$23*3)/'基本数据输入&amp;测算结果'!$C$21*'基本数据输入&amp;测算结果'!$C$22,"无数据/数据缺失")</f>
        <v>无数据/数据缺失</v>
      </c>
      <c r="CY64" s="42">
        <f>IF(CX64&lt;0,0,IF(CX64="无数据/数据缺失",0%,IF(CX64&gt;'基本数据输入&amp;测算结果'!$C$20,100%,CX64/'基本数据输入&amp;测算结果'!$C$20)))</f>
        <v>0</v>
      </c>
      <c r="CZ64" s="42" t="str">
        <f>IFERROR((AVERAGE(BN64:CK64)*6-'基本数据输入&amp;测算结果'!$C$24*6)/'基本数据输入&amp;测算结果'!$C$21/'基本数据输入&amp;测算结果'!$C$22,"无数据/数据缺失")</f>
        <v>无数据/数据缺失</v>
      </c>
      <c r="DA64" s="42">
        <f>IF(CZ64&lt;0,0,IF(CZ64="无数据/数据缺失",0,IF('基本数据输入&amp;测算结果'!$C$20*CY64&gt;CZ64,CZ64/'基本数据输入&amp;测算结果'!$C$20*CY64,CY64)))</f>
        <v>0</v>
      </c>
      <c r="DB64" s="49">
        <f t="shared" si="5"/>
        <v>0</v>
      </c>
      <c r="DC64" s="50"/>
      <c r="DD64" s="50"/>
    </row>
    <row r="65" customHeight="1" spans="1:108">
      <c r="A65" s="52" t="s">
        <v>119</v>
      </c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1"/>
      <c r="CA65" s="51"/>
      <c r="CB65" s="51"/>
      <c r="CC65" s="51"/>
      <c r="CD65" s="51"/>
      <c r="CE65" s="51"/>
      <c r="CF65" s="51"/>
      <c r="CG65" s="51"/>
      <c r="CH65" s="51"/>
      <c r="CI65" s="51"/>
      <c r="CJ65" s="51"/>
      <c r="CK65" s="51"/>
      <c r="CL65" s="51"/>
      <c r="CM65" s="51"/>
      <c r="CN65" s="51"/>
      <c r="CO65" s="51"/>
      <c r="CP65" s="51"/>
      <c r="CQ65" s="51"/>
      <c r="CR65" s="51"/>
      <c r="CS65" s="51"/>
      <c r="CT65" s="42" t="str">
        <f>IFERROR(('基本数据输入&amp;测算结果'!$C$19*7-AVERAGE(B65:Y65,CP65:CS65)*7-'基本数据输入&amp;测算结果'!$C$23*7)/'基本数据输入&amp;测算结果'!$C$21*'基本数据输入&amp;测算结果'!$C$22,"无数据/数据缺失")</f>
        <v>无数据/数据缺失</v>
      </c>
      <c r="CU65" s="42">
        <f>IF(CT65&lt;0,0,IF(CT65="无数据/数据缺失",0%,IF(CT65&gt;'基本数据输入&amp;测算结果'!$C$20,100%,CT65/'基本数据输入&amp;测算结果'!$C$20)))</f>
        <v>0</v>
      </c>
      <c r="CV65" s="42" t="str">
        <f>IFERROR((AVERAGE(Z65:AG65)*2-'基本数据输入&amp;测算结果'!$C$24*2)/'基本数据输入&amp;测算结果'!$C$21/'基本数据输入&amp;测算结果'!$C$22,"无数据/数据缺失")</f>
        <v>无数据/数据缺失</v>
      </c>
      <c r="CW65" s="42">
        <f>IF(CV65&lt;0,0,IF(CV65="无数据/数据缺失",0%,IF(CV65&gt;'基本数据输入&amp;测算结果'!$C$20*CU65,CU65,CV65/'基本数据输入&amp;测算结果'!$C$20*CU65)))</f>
        <v>0</v>
      </c>
      <c r="CX65" s="42" t="str">
        <f>IFERROR(('基本数据输入&amp;测算结果'!$C$19*3-AVERAGE(AT65:BE65)*3-'基本数据输入&amp;测算结果'!$C$23*3)/'基本数据输入&amp;测算结果'!$C$21*'基本数据输入&amp;测算结果'!$C$22,"无数据/数据缺失")</f>
        <v>无数据/数据缺失</v>
      </c>
      <c r="CY65" s="42">
        <f>IF(CX65&lt;0,0,IF(CX65="无数据/数据缺失",0%,IF(CX65&gt;'基本数据输入&amp;测算结果'!$C$20,100%,CX65/'基本数据输入&amp;测算结果'!$C$20)))</f>
        <v>0</v>
      </c>
      <c r="CZ65" s="42" t="str">
        <f>IFERROR((AVERAGE(BN65:CK65)*6-'基本数据输入&amp;测算结果'!$C$24*6)/'基本数据输入&amp;测算结果'!$C$21/'基本数据输入&amp;测算结果'!$C$22,"无数据/数据缺失")</f>
        <v>无数据/数据缺失</v>
      </c>
      <c r="DA65" s="42">
        <f>IF(CZ65&lt;0,0,IF(CZ65="无数据/数据缺失",0,IF('基本数据输入&amp;测算结果'!$C$20*CY65&gt;CZ65,CZ65/'基本数据输入&amp;测算结果'!$C$20*CY65,CY65)))</f>
        <v>0</v>
      </c>
      <c r="DB65" s="49">
        <f t="shared" si="5"/>
        <v>0</v>
      </c>
      <c r="DC65" s="50"/>
      <c r="DD65" s="50"/>
    </row>
    <row r="66" customHeight="1" spans="1:108">
      <c r="A66" s="52" t="s">
        <v>120</v>
      </c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  <c r="BQ66" s="51"/>
      <c r="BR66" s="51"/>
      <c r="BS66" s="51"/>
      <c r="BT66" s="51"/>
      <c r="BU66" s="51"/>
      <c r="BV66" s="51"/>
      <c r="BW66" s="51"/>
      <c r="BX66" s="51"/>
      <c r="BY66" s="51"/>
      <c r="BZ66" s="51"/>
      <c r="CA66" s="51"/>
      <c r="CB66" s="51"/>
      <c r="CC66" s="51"/>
      <c r="CD66" s="51"/>
      <c r="CE66" s="51"/>
      <c r="CF66" s="51"/>
      <c r="CG66" s="51"/>
      <c r="CH66" s="51"/>
      <c r="CI66" s="51"/>
      <c r="CJ66" s="51"/>
      <c r="CK66" s="51"/>
      <c r="CL66" s="51"/>
      <c r="CM66" s="51"/>
      <c r="CN66" s="51"/>
      <c r="CO66" s="51"/>
      <c r="CP66" s="51"/>
      <c r="CQ66" s="51"/>
      <c r="CR66" s="51"/>
      <c r="CS66" s="51"/>
      <c r="CT66" s="42" t="str">
        <f>IFERROR(('基本数据输入&amp;测算结果'!$C$19*7-AVERAGE(B66:Y66,CP66:CS66)*7-'基本数据输入&amp;测算结果'!$C$23*7)/'基本数据输入&amp;测算结果'!$C$21*'基本数据输入&amp;测算结果'!$C$22,"无数据/数据缺失")</f>
        <v>无数据/数据缺失</v>
      </c>
      <c r="CU66" s="42">
        <f>IF(CT66&lt;0,0,IF(CT66="无数据/数据缺失",0%,IF(CT66&gt;'基本数据输入&amp;测算结果'!$C$20,100%,CT66/'基本数据输入&amp;测算结果'!$C$20)))</f>
        <v>0</v>
      </c>
      <c r="CV66" s="42" t="str">
        <f>IFERROR((AVERAGE(Z66:AG66)*2-'基本数据输入&amp;测算结果'!$C$24*2)/'基本数据输入&amp;测算结果'!$C$21/'基本数据输入&amp;测算结果'!$C$22,"无数据/数据缺失")</f>
        <v>无数据/数据缺失</v>
      </c>
      <c r="CW66" s="42">
        <f>IF(CV66&lt;0,0,IF(CV66="无数据/数据缺失",0%,IF(CV66&gt;'基本数据输入&amp;测算结果'!$C$20*CU66,CU66,CV66/'基本数据输入&amp;测算结果'!$C$20*CU66)))</f>
        <v>0</v>
      </c>
      <c r="CX66" s="42" t="str">
        <f>IFERROR(('基本数据输入&amp;测算结果'!$C$19*3-AVERAGE(AT66:BE66)*3-'基本数据输入&amp;测算结果'!$C$23*3)/'基本数据输入&amp;测算结果'!$C$21*'基本数据输入&amp;测算结果'!$C$22,"无数据/数据缺失")</f>
        <v>无数据/数据缺失</v>
      </c>
      <c r="CY66" s="42">
        <f>IF(CX66&lt;0,0,IF(CX66="无数据/数据缺失",0%,IF(CX66&gt;'基本数据输入&amp;测算结果'!$C$20,100%,CX66/'基本数据输入&amp;测算结果'!$C$20)))</f>
        <v>0</v>
      </c>
      <c r="CZ66" s="42" t="str">
        <f>IFERROR((AVERAGE(BN66:CK66)*6-'基本数据输入&amp;测算结果'!$C$24*6)/'基本数据输入&amp;测算结果'!$C$21/'基本数据输入&amp;测算结果'!$C$22,"无数据/数据缺失")</f>
        <v>无数据/数据缺失</v>
      </c>
      <c r="DA66" s="42">
        <f>IF(CZ66&lt;0,0,IF(CZ66="无数据/数据缺失",0,IF('基本数据输入&amp;测算结果'!$C$20*CY66&gt;CZ66,CZ66/'基本数据输入&amp;测算结果'!$C$20*CY66,CY66)))</f>
        <v>0</v>
      </c>
      <c r="DB66" s="49">
        <f t="shared" ref="DB66:DB89" si="6">MIN(CU66,CW66)+MIN(CY66,DA66)</f>
        <v>0</v>
      </c>
      <c r="DC66" s="50"/>
      <c r="DD66" s="50"/>
    </row>
    <row r="67" customHeight="1" spans="1:108">
      <c r="A67" s="52" t="s">
        <v>121</v>
      </c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  <c r="CP67" s="51"/>
      <c r="CQ67" s="51"/>
      <c r="CR67" s="51"/>
      <c r="CS67" s="51"/>
      <c r="CT67" s="42" t="str">
        <f>IFERROR(('基本数据输入&amp;测算结果'!$C$19*7-AVERAGE(B67:Y67,CP67:CS67)*7-'基本数据输入&amp;测算结果'!$C$23*7)/'基本数据输入&amp;测算结果'!$C$21*'基本数据输入&amp;测算结果'!$C$22,"无数据/数据缺失")</f>
        <v>无数据/数据缺失</v>
      </c>
      <c r="CU67" s="42">
        <f>IF(CT67&lt;0,0,IF(CT67="无数据/数据缺失",0%,IF(CT67&gt;'基本数据输入&amp;测算结果'!$C$20,100%,CT67/'基本数据输入&amp;测算结果'!$C$20)))</f>
        <v>0</v>
      </c>
      <c r="CV67" s="42" t="str">
        <f>IFERROR((AVERAGE(Z67:AG67)*2-'基本数据输入&amp;测算结果'!$C$24*2)/'基本数据输入&amp;测算结果'!$C$21/'基本数据输入&amp;测算结果'!$C$22,"无数据/数据缺失")</f>
        <v>无数据/数据缺失</v>
      </c>
      <c r="CW67" s="42">
        <f>IF(CV67&lt;0,0,IF(CV67="无数据/数据缺失",0%,IF(CV67&gt;'基本数据输入&amp;测算结果'!$C$20*CU67,CU67,CV67/'基本数据输入&amp;测算结果'!$C$20*CU67)))</f>
        <v>0</v>
      </c>
      <c r="CX67" s="42" t="str">
        <f>IFERROR(('基本数据输入&amp;测算结果'!$C$19*3-AVERAGE(AT67:BE67)*3-'基本数据输入&amp;测算结果'!$C$23*3)/'基本数据输入&amp;测算结果'!$C$21*'基本数据输入&amp;测算结果'!$C$22,"无数据/数据缺失")</f>
        <v>无数据/数据缺失</v>
      </c>
      <c r="CY67" s="42">
        <f>IF(CX67&lt;0,0,IF(CX67="无数据/数据缺失",0%,IF(CX67&gt;'基本数据输入&amp;测算结果'!$C$20,100%,CX67/'基本数据输入&amp;测算结果'!$C$20)))</f>
        <v>0</v>
      </c>
      <c r="CZ67" s="42" t="str">
        <f>IFERROR((AVERAGE(BN67:CK67)*6-'基本数据输入&amp;测算结果'!$C$24*6)/'基本数据输入&amp;测算结果'!$C$21/'基本数据输入&amp;测算结果'!$C$22,"无数据/数据缺失")</f>
        <v>无数据/数据缺失</v>
      </c>
      <c r="DA67" s="42">
        <f>IF(CZ67&lt;0,0,IF(CZ67="无数据/数据缺失",0,IF('基本数据输入&amp;测算结果'!$C$20*CY67&gt;CZ67,CZ67/'基本数据输入&amp;测算结果'!$C$20*CY67,CY67)))</f>
        <v>0</v>
      </c>
      <c r="DB67" s="49">
        <f t="shared" si="6"/>
        <v>0</v>
      </c>
      <c r="DC67" s="50"/>
      <c r="DD67" s="50"/>
    </row>
    <row r="68" customHeight="1" spans="1:108">
      <c r="A68" s="52" t="s">
        <v>122</v>
      </c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  <c r="BQ68" s="51"/>
      <c r="BR68" s="51"/>
      <c r="BS68" s="51"/>
      <c r="BT68" s="51"/>
      <c r="BU68" s="51"/>
      <c r="BV68" s="51"/>
      <c r="BW68" s="51"/>
      <c r="BX68" s="51"/>
      <c r="BY68" s="51"/>
      <c r="BZ68" s="51"/>
      <c r="CA68" s="51"/>
      <c r="CB68" s="51"/>
      <c r="CC68" s="51"/>
      <c r="CD68" s="51"/>
      <c r="CE68" s="51"/>
      <c r="CF68" s="51"/>
      <c r="CG68" s="51"/>
      <c r="CH68" s="51"/>
      <c r="CI68" s="51"/>
      <c r="CJ68" s="51"/>
      <c r="CK68" s="51"/>
      <c r="CL68" s="51"/>
      <c r="CM68" s="51"/>
      <c r="CN68" s="51"/>
      <c r="CO68" s="51"/>
      <c r="CP68" s="51"/>
      <c r="CQ68" s="51"/>
      <c r="CR68" s="51"/>
      <c r="CS68" s="51"/>
      <c r="CT68" s="42" t="str">
        <f>IFERROR(('基本数据输入&amp;测算结果'!$C$19*7-AVERAGE(B68:Y68,CP68:CS68)*7-'基本数据输入&amp;测算结果'!$C$23*7)/'基本数据输入&amp;测算结果'!$C$21*'基本数据输入&amp;测算结果'!$C$22,"无数据/数据缺失")</f>
        <v>无数据/数据缺失</v>
      </c>
      <c r="CU68" s="42">
        <f>IF(CT68&lt;0,0,IF(CT68="无数据/数据缺失",0%,IF(CT68&gt;'基本数据输入&amp;测算结果'!$C$20,100%,CT68/'基本数据输入&amp;测算结果'!$C$20)))</f>
        <v>0</v>
      </c>
      <c r="CV68" s="42" t="str">
        <f>IFERROR((AVERAGE(Z68:AG68)*2-'基本数据输入&amp;测算结果'!$C$24*2)/'基本数据输入&amp;测算结果'!$C$21/'基本数据输入&amp;测算结果'!$C$22,"无数据/数据缺失")</f>
        <v>无数据/数据缺失</v>
      </c>
      <c r="CW68" s="42">
        <f>IF(CV68&lt;0,0,IF(CV68="无数据/数据缺失",0%,IF(CV68&gt;'基本数据输入&amp;测算结果'!$C$20*CU68,CU68,CV68/'基本数据输入&amp;测算结果'!$C$20*CU68)))</f>
        <v>0</v>
      </c>
      <c r="CX68" s="42" t="str">
        <f>IFERROR(('基本数据输入&amp;测算结果'!$C$19*3-AVERAGE(AT68:BE68)*3-'基本数据输入&amp;测算结果'!$C$23*3)/'基本数据输入&amp;测算结果'!$C$21*'基本数据输入&amp;测算结果'!$C$22,"无数据/数据缺失")</f>
        <v>无数据/数据缺失</v>
      </c>
      <c r="CY68" s="42">
        <f>IF(CX68&lt;0,0,IF(CX68="无数据/数据缺失",0%,IF(CX68&gt;'基本数据输入&amp;测算结果'!$C$20,100%,CX68/'基本数据输入&amp;测算结果'!$C$20)))</f>
        <v>0</v>
      </c>
      <c r="CZ68" s="42" t="str">
        <f>IFERROR((AVERAGE(BN68:CK68)*6-'基本数据输入&amp;测算结果'!$C$24*6)/'基本数据输入&amp;测算结果'!$C$21/'基本数据输入&amp;测算结果'!$C$22,"无数据/数据缺失")</f>
        <v>无数据/数据缺失</v>
      </c>
      <c r="DA68" s="42">
        <f>IF(CZ68&lt;0,0,IF(CZ68="无数据/数据缺失",0,IF('基本数据输入&amp;测算结果'!$C$20*CY68&gt;CZ68,CZ68/'基本数据输入&amp;测算结果'!$C$20*CY68,CY68)))</f>
        <v>0</v>
      </c>
      <c r="DB68" s="49">
        <f t="shared" si="6"/>
        <v>0</v>
      </c>
      <c r="DC68" s="50"/>
      <c r="DD68" s="50"/>
    </row>
    <row r="69" customHeight="1" spans="1:108">
      <c r="A69" s="52" t="s">
        <v>123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  <c r="BQ69" s="51"/>
      <c r="BR69" s="51"/>
      <c r="BS69" s="51"/>
      <c r="BT69" s="51"/>
      <c r="BU69" s="51"/>
      <c r="BV69" s="51"/>
      <c r="BW69" s="51"/>
      <c r="BX69" s="51"/>
      <c r="BY69" s="51"/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  <c r="CM69" s="51"/>
      <c r="CN69" s="51"/>
      <c r="CO69" s="51"/>
      <c r="CP69" s="51"/>
      <c r="CQ69" s="51"/>
      <c r="CR69" s="51"/>
      <c r="CS69" s="51"/>
      <c r="CT69" s="42" t="str">
        <f>IFERROR(('基本数据输入&amp;测算结果'!$C$19*7-AVERAGE(B69:Y69,CP69:CS69)*7-'基本数据输入&amp;测算结果'!$C$23*7)/'基本数据输入&amp;测算结果'!$C$21*'基本数据输入&amp;测算结果'!$C$22,"无数据/数据缺失")</f>
        <v>无数据/数据缺失</v>
      </c>
      <c r="CU69" s="42">
        <f>IF(CT69&lt;0,0,IF(CT69="无数据/数据缺失",0%,IF(CT69&gt;'基本数据输入&amp;测算结果'!$C$20,100%,CT69/'基本数据输入&amp;测算结果'!$C$20)))</f>
        <v>0</v>
      </c>
      <c r="CV69" s="42" t="str">
        <f>IFERROR((AVERAGE(Z69:AG69)*2-'基本数据输入&amp;测算结果'!$C$24*2)/'基本数据输入&amp;测算结果'!$C$21/'基本数据输入&amp;测算结果'!$C$22,"无数据/数据缺失")</f>
        <v>无数据/数据缺失</v>
      </c>
      <c r="CW69" s="42">
        <f>IF(CV69&lt;0,0,IF(CV69="无数据/数据缺失",0%,IF(CV69&gt;'基本数据输入&amp;测算结果'!$C$20*CU69,CU69,CV69/'基本数据输入&amp;测算结果'!$C$20*CU69)))</f>
        <v>0</v>
      </c>
      <c r="CX69" s="42" t="str">
        <f>IFERROR(('基本数据输入&amp;测算结果'!$C$19*3-AVERAGE(AT69:BE69)*3-'基本数据输入&amp;测算结果'!$C$23*3)/'基本数据输入&amp;测算结果'!$C$21*'基本数据输入&amp;测算结果'!$C$22,"无数据/数据缺失")</f>
        <v>无数据/数据缺失</v>
      </c>
      <c r="CY69" s="42">
        <f>IF(CX69&lt;0,0,IF(CX69="无数据/数据缺失",0%,IF(CX69&gt;'基本数据输入&amp;测算结果'!$C$20,100%,CX69/'基本数据输入&amp;测算结果'!$C$20)))</f>
        <v>0</v>
      </c>
      <c r="CZ69" s="42" t="str">
        <f>IFERROR((AVERAGE(BN69:CK69)*6-'基本数据输入&amp;测算结果'!$C$24*6)/'基本数据输入&amp;测算结果'!$C$21/'基本数据输入&amp;测算结果'!$C$22,"无数据/数据缺失")</f>
        <v>无数据/数据缺失</v>
      </c>
      <c r="DA69" s="42">
        <f>IF(CZ69&lt;0,0,IF(CZ69="无数据/数据缺失",0,IF('基本数据输入&amp;测算结果'!$C$20*CY69&gt;CZ69,CZ69/'基本数据输入&amp;测算结果'!$C$20*CY69,CY69)))</f>
        <v>0</v>
      </c>
      <c r="DB69" s="49">
        <f t="shared" si="6"/>
        <v>0</v>
      </c>
      <c r="DC69" s="50"/>
      <c r="DD69" s="50"/>
    </row>
    <row r="70" customHeight="1" spans="1:108">
      <c r="A70" s="52" t="s">
        <v>124</v>
      </c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  <c r="BQ70" s="51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  <c r="CP70" s="51"/>
      <c r="CQ70" s="51"/>
      <c r="CR70" s="51"/>
      <c r="CS70" s="51"/>
      <c r="CT70" s="42" t="str">
        <f>IFERROR(('基本数据输入&amp;测算结果'!$C$19*7-AVERAGE(B70:Y70,CP70:CS70)*7-'基本数据输入&amp;测算结果'!$C$23*7)/'基本数据输入&amp;测算结果'!$C$21*'基本数据输入&amp;测算结果'!$C$22,"无数据/数据缺失")</f>
        <v>无数据/数据缺失</v>
      </c>
      <c r="CU70" s="42">
        <f>IF(CT70&lt;0,0,IF(CT70="无数据/数据缺失",0%,IF(CT70&gt;'基本数据输入&amp;测算结果'!$C$20,100%,CT70/'基本数据输入&amp;测算结果'!$C$20)))</f>
        <v>0</v>
      </c>
      <c r="CV70" s="42" t="str">
        <f>IFERROR((AVERAGE(Z70:AG70)*2-'基本数据输入&amp;测算结果'!$C$24*2)/'基本数据输入&amp;测算结果'!$C$21/'基本数据输入&amp;测算结果'!$C$22,"无数据/数据缺失")</f>
        <v>无数据/数据缺失</v>
      </c>
      <c r="CW70" s="42">
        <f>IF(CV70&lt;0,0,IF(CV70="无数据/数据缺失",0%,IF(CV70&gt;'基本数据输入&amp;测算结果'!$C$20*CU70,CU70,CV70/'基本数据输入&amp;测算结果'!$C$20*CU70)))</f>
        <v>0</v>
      </c>
      <c r="CX70" s="42" t="str">
        <f>IFERROR(('基本数据输入&amp;测算结果'!$C$19*3-AVERAGE(AT70:BE70)*3-'基本数据输入&amp;测算结果'!$C$23*3)/'基本数据输入&amp;测算结果'!$C$21*'基本数据输入&amp;测算结果'!$C$22,"无数据/数据缺失")</f>
        <v>无数据/数据缺失</v>
      </c>
      <c r="CY70" s="42">
        <f>IF(CX70&lt;0,0,IF(CX70="无数据/数据缺失",0%,IF(CX70&gt;'基本数据输入&amp;测算结果'!$C$20,100%,CX70/'基本数据输入&amp;测算结果'!$C$20)))</f>
        <v>0</v>
      </c>
      <c r="CZ70" s="42" t="str">
        <f>IFERROR((AVERAGE(BN70:CK70)*6-'基本数据输入&amp;测算结果'!$C$24*6)/'基本数据输入&amp;测算结果'!$C$21/'基本数据输入&amp;测算结果'!$C$22,"无数据/数据缺失")</f>
        <v>无数据/数据缺失</v>
      </c>
      <c r="DA70" s="42">
        <f>IF(CZ70&lt;0,0,IF(CZ70="无数据/数据缺失",0,IF('基本数据输入&amp;测算结果'!$C$20*CY70&gt;CZ70,CZ70/'基本数据输入&amp;测算结果'!$C$20*CY70,CY70)))</f>
        <v>0</v>
      </c>
      <c r="DB70" s="49">
        <f t="shared" si="6"/>
        <v>0</v>
      </c>
      <c r="DC70" s="50"/>
      <c r="DD70" s="50"/>
    </row>
    <row r="71" customHeight="1" spans="1:108">
      <c r="A71" s="52" t="s">
        <v>125</v>
      </c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  <c r="BQ71" s="51"/>
      <c r="BR71" s="51"/>
      <c r="BS71" s="51"/>
      <c r="BT71" s="51"/>
      <c r="BU71" s="51"/>
      <c r="BV71" s="51"/>
      <c r="BW71" s="51"/>
      <c r="BX71" s="51"/>
      <c r="BY71" s="51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  <c r="CP71" s="51"/>
      <c r="CQ71" s="51"/>
      <c r="CR71" s="51"/>
      <c r="CS71" s="51"/>
      <c r="CT71" s="42" t="str">
        <f>IFERROR(('基本数据输入&amp;测算结果'!$C$19*7-AVERAGE(B71:Y71,CP71:CS71)*7-'基本数据输入&amp;测算结果'!$C$23*7)/'基本数据输入&amp;测算结果'!$C$21*'基本数据输入&amp;测算结果'!$C$22,"无数据/数据缺失")</f>
        <v>无数据/数据缺失</v>
      </c>
      <c r="CU71" s="42">
        <f>IF(CT71&lt;0,0,IF(CT71="无数据/数据缺失",0%,IF(CT71&gt;'基本数据输入&amp;测算结果'!$C$20,100%,CT71/'基本数据输入&amp;测算结果'!$C$20)))</f>
        <v>0</v>
      </c>
      <c r="CV71" s="42" t="str">
        <f>IFERROR((AVERAGE(Z71:AG71)*2-'基本数据输入&amp;测算结果'!$C$24*2)/'基本数据输入&amp;测算结果'!$C$21/'基本数据输入&amp;测算结果'!$C$22,"无数据/数据缺失")</f>
        <v>无数据/数据缺失</v>
      </c>
      <c r="CW71" s="42">
        <f>IF(CV71&lt;0,0,IF(CV71="无数据/数据缺失",0%,IF(CV71&gt;'基本数据输入&amp;测算结果'!$C$20*CU71,CU71,CV71/'基本数据输入&amp;测算结果'!$C$20*CU71)))</f>
        <v>0</v>
      </c>
      <c r="CX71" s="42" t="str">
        <f>IFERROR(('基本数据输入&amp;测算结果'!$C$19*3-AVERAGE(AT71:BE71)*3-'基本数据输入&amp;测算结果'!$C$23*3)/'基本数据输入&amp;测算结果'!$C$21*'基本数据输入&amp;测算结果'!$C$22,"无数据/数据缺失")</f>
        <v>无数据/数据缺失</v>
      </c>
      <c r="CY71" s="42">
        <f>IF(CX71&lt;0,0,IF(CX71="无数据/数据缺失",0%,IF(CX71&gt;'基本数据输入&amp;测算结果'!$C$20,100%,CX71/'基本数据输入&amp;测算结果'!$C$20)))</f>
        <v>0</v>
      </c>
      <c r="CZ71" s="42" t="str">
        <f>IFERROR((AVERAGE(BN71:CK71)*6-'基本数据输入&amp;测算结果'!$C$24*6)/'基本数据输入&amp;测算结果'!$C$21/'基本数据输入&amp;测算结果'!$C$22,"无数据/数据缺失")</f>
        <v>无数据/数据缺失</v>
      </c>
      <c r="DA71" s="42">
        <f>IF(CZ71&lt;0,0,IF(CZ71="无数据/数据缺失",0,IF('基本数据输入&amp;测算结果'!$C$20*CY71&gt;CZ71,CZ71/'基本数据输入&amp;测算结果'!$C$20*CY71,CY71)))</f>
        <v>0</v>
      </c>
      <c r="DB71" s="49">
        <f t="shared" si="6"/>
        <v>0</v>
      </c>
      <c r="DC71" s="50"/>
      <c r="DD71" s="50"/>
    </row>
    <row r="72" customHeight="1" spans="1:108">
      <c r="A72" s="52" t="s">
        <v>126</v>
      </c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  <c r="BQ72" s="51"/>
      <c r="BR72" s="51"/>
      <c r="BS72" s="51"/>
      <c r="BT72" s="51"/>
      <c r="BU72" s="51"/>
      <c r="BV72" s="51"/>
      <c r="BW72" s="51"/>
      <c r="BX72" s="51"/>
      <c r="BY72" s="51"/>
      <c r="BZ72" s="51"/>
      <c r="CA72" s="51"/>
      <c r="CB72" s="51"/>
      <c r="CC72" s="51"/>
      <c r="CD72" s="51"/>
      <c r="CE72" s="51"/>
      <c r="CF72" s="51"/>
      <c r="CG72" s="51"/>
      <c r="CH72" s="51"/>
      <c r="CI72" s="51"/>
      <c r="CJ72" s="51"/>
      <c r="CK72" s="51"/>
      <c r="CL72" s="51"/>
      <c r="CM72" s="51"/>
      <c r="CN72" s="51"/>
      <c r="CO72" s="51"/>
      <c r="CP72" s="51"/>
      <c r="CQ72" s="51"/>
      <c r="CR72" s="51"/>
      <c r="CS72" s="51"/>
      <c r="CT72" s="42" t="str">
        <f>IFERROR(('基本数据输入&amp;测算结果'!$C$19*7-AVERAGE(B72:Y72,CP72:CS72)*7-'基本数据输入&amp;测算结果'!$C$23*7)/'基本数据输入&amp;测算结果'!$C$21*'基本数据输入&amp;测算结果'!$C$22,"无数据/数据缺失")</f>
        <v>无数据/数据缺失</v>
      </c>
      <c r="CU72" s="42">
        <f>IF(CT72&lt;0,0,IF(CT72="无数据/数据缺失",0%,IF(CT72&gt;'基本数据输入&amp;测算结果'!$C$20,100%,CT72/'基本数据输入&amp;测算结果'!$C$20)))</f>
        <v>0</v>
      </c>
      <c r="CV72" s="42" t="str">
        <f>IFERROR((AVERAGE(Z72:AG72)*2-'基本数据输入&amp;测算结果'!$C$24*2)/'基本数据输入&amp;测算结果'!$C$21/'基本数据输入&amp;测算结果'!$C$22,"无数据/数据缺失")</f>
        <v>无数据/数据缺失</v>
      </c>
      <c r="CW72" s="42">
        <f>IF(CV72&lt;0,0,IF(CV72="无数据/数据缺失",0%,IF(CV72&gt;'基本数据输入&amp;测算结果'!$C$20*CU72,CU72,CV72/'基本数据输入&amp;测算结果'!$C$20*CU72)))</f>
        <v>0</v>
      </c>
      <c r="CX72" s="42" t="str">
        <f>IFERROR(('基本数据输入&amp;测算结果'!$C$19*3-AVERAGE(AT72:BE72)*3-'基本数据输入&amp;测算结果'!$C$23*3)/'基本数据输入&amp;测算结果'!$C$21*'基本数据输入&amp;测算结果'!$C$22,"无数据/数据缺失")</f>
        <v>无数据/数据缺失</v>
      </c>
      <c r="CY72" s="42">
        <f>IF(CX72&lt;0,0,IF(CX72="无数据/数据缺失",0%,IF(CX72&gt;'基本数据输入&amp;测算结果'!$C$20,100%,CX72/'基本数据输入&amp;测算结果'!$C$20)))</f>
        <v>0</v>
      </c>
      <c r="CZ72" s="42" t="str">
        <f>IFERROR((AVERAGE(BN72:CK72)*6-'基本数据输入&amp;测算结果'!$C$24*6)/'基本数据输入&amp;测算结果'!$C$21/'基本数据输入&amp;测算结果'!$C$22,"无数据/数据缺失")</f>
        <v>无数据/数据缺失</v>
      </c>
      <c r="DA72" s="42">
        <f>IF(CZ72&lt;0,0,IF(CZ72="无数据/数据缺失",0,IF('基本数据输入&amp;测算结果'!$C$20*CY72&gt;CZ72,CZ72/'基本数据输入&amp;测算结果'!$C$20*CY72,CY72)))</f>
        <v>0</v>
      </c>
      <c r="DB72" s="49">
        <f t="shared" si="6"/>
        <v>0</v>
      </c>
      <c r="DC72" s="50"/>
      <c r="DD72" s="50"/>
    </row>
    <row r="73" customHeight="1" spans="1:108">
      <c r="A73" s="52" t="s">
        <v>127</v>
      </c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  <c r="BQ73" s="51"/>
      <c r="BR73" s="51"/>
      <c r="BS73" s="51"/>
      <c r="BT73" s="51"/>
      <c r="BU73" s="51"/>
      <c r="BV73" s="51"/>
      <c r="BW73" s="51"/>
      <c r="BX73" s="51"/>
      <c r="BY73" s="51"/>
      <c r="BZ73" s="51"/>
      <c r="CA73" s="51"/>
      <c r="CB73" s="51"/>
      <c r="CC73" s="51"/>
      <c r="CD73" s="51"/>
      <c r="CE73" s="51"/>
      <c r="CF73" s="51"/>
      <c r="CG73" s="51"/>
      <c r="CH73" s="51"/>
      <c r="CI73" s="51"/>
      <c r="CJ73" s="51"/>
      <c r="CK73" s="51"/>
      <c r="CL73" s="51"/>
      <c r="CM73" s="51"/>
      <c r="CN73" s="51"/>
      <c r="CO73" s="51"/>
      <c r="CP73" s="51"/>
      <c r="CQ73" s="51"/>
      <c r="CR73" s="51"/>
      <c r="CS73" s="51"/>
      <c r="CT73" s="42" t="str">
        <f>IFERROR(('基本数据输入&amp;测算结果'!$C$19*7-AVERAGE(B73:Y73,CP73:CS73)*7-'基本数据输入&amp;测算结果'!$C$23*7)/'基本数据输入&amp;测算结果'!$C$21*'基本数据输入&amp;测算结果'!$C$22,"无数据/数据缺失")</f>
        <v>无数据/数据缺失</v>
      </c>
      <c r="CU73" s="42">
        <f>IF(CT73&lt;0,0,IF(CT73="无数据/数据缺失",0%,IF(CT73&gt;'基本数据输入&amp;测算结果'!$C$20,100%,CT73/'基本数据输入&amp;测算结果'!$C$20)))</f>
        <v>0</v>
      </c>
      <c r="CV73" s="42" t="str">
        <f>IFERROR((AVERAGE(Z73:AG73)*2-'基本数据输入&amp;测算结果'!$C$24*2)/'基本数据输入&amp;测算结果'!$C$21/'基本数据输入&amp;测算结果'!$C$22,"无数据/数据缺失")</f>
        <v>无数据/数据缺失</v>
      </c>
      <c r="CW73" s="42">
        <f>IF(CV73&lt;0,0,IF(CV73="无数据/数据缺失",0%,IF(CV73&gt;'基本数据输入&amp;测算结果'!$C$20*CU73,CU73,CV73/'基本数据输入&amp;测算结果'!$C$20*CU73)))</f>
        <v>0</v>
      </c>
      <c r="CX73" s="42" t="str">
        <f>IFERROR(('基本数据输入&amp;测算结果'!$C$19*3-AVERAGE(AT73:BE73)*3-'基本数据输入&amp;测算结果'!$C$23*3)/'基本数据输入&amp;测算结果'!$C$21*'基本数据输入&amp;测算结果'!$C$22,"无数据/数据缺失")</f>
        <v>无数据/数据缺失</v>
      </c>
      <c r="CY73" s="42">
        <f>IF(CX73&lt;0,0,IF(CX73="无数据/数据缺失",0%,IF(CX73&gt;'基本数据输入&amp;测算结果'!$C$20,100%,CX73/'基本数据输入&amp;测算结果'!$C$20)))</f>
        <v>0</v>
      </c>
      <c r="CZ73" s="42" t="str">
        <f>IFERROR((AVERAGE(BN73:CK73)*6-'基本数据输入&amp;测算结果'!$C$24*6)/'基本数据输入&amp;测算结果'!$C$21/'基本数据输入&amp;测算结果'!$C$22,"无数据/数据缺失")</f>
        <v>无数据/数据缺失</v>
      </c>
      <c r="DA73" s="42">
        <f>IF(CZ73&lt;0,0,IF(CZ73="无数据/数据缺失",0,IF('基本数据输入&amp;测算结果'!$C$20*CY73&gt;CZ73,CZ73/'基本数据输入&amp;测算结果'!$C$20*CY73,CY73)))</f>
        <v>0</v>
      </c>
      <c r="DB73" s="49">
        <f t="shared" si="6"/>
        <v>0</v>
      </c>
      <c r="DC73" s="50"/>
      <c r="DD73" s="50"/>
    </row>
    <row r="74" customHeight="1" spans="1:108">
      <c r="A74" s="52" t="s">
        <v>128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  <c r="BQ74" s="51"/>
      <c r="BR74" s="51"/>
      <c r="BS74" s="51"/>
      <c r="BT74" s="51"/>
      <c r="BU74" s="51"/>
      <c r="BV74" s="51"/>
      <c r="BW74" s="51"/>
      <c r="BX74" s="51"/>
      <c r="BY74" s="51"/>
      <c r="BZ74" s="51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51"/>
      <c r="CL74" s="51"/>
      <c r="CM74" s="51"/>
      <c r="CN74" s="51"/>
      <c r="CO74" s="51"/>
      <c r="CP74" s="51"/>
      <c r="CQ74" s="51"/>
      <c r="CR74" s="51"/>
      <c r="CS74" s="51"/>
      <c r="CT74" s="42" t="str">
        <f>IFERROR(('基本数据输入&amp;测算结果'!$C$19*7-AVERAGE(B74:Y74,CP74:CS74)*7-'基本数据输入&amp;测算结果'!$C$23*7)/'基本数据输入&amp;测算结果'!$C$21*'基本数据输入&amp;测算结果'!$C$22,"无数据/数据缺失")</f>
        <v>无数据/数据缺失</v>
      </c>
      <c r="CU74" s="42">
        <f>IF(CT74&lt;0,0,IF(CT74="无数据/数据缺失",0%,IF(CT74&gt;'基本数据输入&amp;测算结果'!$C$20,100%,CT74/'基本数据输入&amp;测算结果'!$C$20)))</f>
        <v>0</v>
      </c>
      <c r="CV74" s="42" t="str">
        <f>IFERROR((AVERAGE(Z74:AG74)*2-'基本数据输入&amp;测算结果'!$C$24*2)/'基本数据输入&amp;测算结果'!$C$21/'基本数据输入&amp;测算结果'!$C$22,"无数据/数据缺失")</f>
        <v>无数据/数据缺失</v>
      </c>
      <c r="CW74" s="42">
        <f>IF(CV74&lt;0,0,IF(CV74="无数据/数据缺失",0%,IF(CV74&gt;'基本数据输入&amp;测算结果'!$C$20*CU74,CU74,CV74/'基本数据输入&amp;测算结果'!$C$20*CU74)))</f>
        <v>0</v>
      </c>
      <c r="CX74" s="42" t="str">
        <f>IFERROR(('基本数据输入&amp;测算结果'!$C$19*3-AVERAGE(AT74:BE74)*3-'基本数据输入&amp;测算结果'!$C$23*3)/'基本数据输入&amp;测算结果'!$C$21*'基本数据输入&amp;测算结果'!$C$22,"无数据/数据缺失")</f>
        <v>无数据/数据缺失</v>
      </c>
      <c r="CY74" s="42">
        <f>IF(CX74&lt;0,0,IF(CX74="无数据/数据缺失",0%,IF(CX74&gt;'基本数据输入&amp;测算结果'!$C$20,100%,CX74/'基本数据输入&amp;测算结果'!$C$20)))</f>
        <v>0</v>
      </c>
      <c r="CZ74" s="42" t="str">
        <f>IFERROR((AVERAGE(BN74:CK74)*6-'基本数据输入&amp;测算结果'!$C$24*6)/'基本数据输入&amp;测算结果'!$C$21/'基本数据输入&amp;测算结果'!$C$22,"无数据/数据缺失")</f>
        <v>无数据/数据缺失</v>
      </c>
      <c r="DA74" s="42">
        <f>IF(CZ74&lt;0,0,IF(CZ74="无数据/数据缺失",0,IF('基本数据输入&amp;测算结果'!$C$20*CY74&gt;CZ74,CZ74/'基本数据输入&amp;测算结果'!$C$20*CY74,CY74)))</f>
        <v>0</v>
      </c>
      <c r="DB74" s="49">
        <f t="shared" si="6"/>
        <v>0</v>
      </c>
      <c r="DC74" s="50"/>
      <c r="DD74" s="50"/>
    </row>
    <row r="75" customHeight="1" spans="1:108">
      <c r="A75" s="52" t="s">
        <v>129</v>
      </c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  <c r="BQ75" s="51"/>
      <c r="BR75" s="51"/>
      <c r="BS75" s="51"/>
      <c r="BT75" s="51"/>
      <c r="BU75" s="51"/>
      <c r="BV75" s="51"/>
      <c r="BW75" s="51"/>
      <c r="BX75" s="51"/>
      <c r="BY75" s="51"/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  <c r="CM75" s="51"/>
      <c r="CN75" s="51"/>
      <c r="CO75" s="51"/>
      <c r="CP75" s="51"/>
      <c r="CQ75" s="51"/>
      <c r="CR75" s="51"/>
      <c r="CS75" s="51"/>
      <c r="CT75" s="42" t="str">
        <f>IFERROR(('基本数据输入&amp;测算结果'!$C$19*7-AVERAGE(B75:Y75,CP75:CS75)*7-'基本数据输入&amp;测算结果'!$C$23*7)/'基本数据输入&amp;测算结果'!$C$21*'基本数据输入&amp;测算结果'!$C$22,"无数据/数据缺失")</f>
        <v>无数据/数据缺失</v>
      </c>
      <c r="CU75" s="42">
        <f>IF(CT75&lt;0,0,IF(CT75="无数据/数据缺失",0%,IF(CT75&gt;'基本数据输入&amp;测算结果'!$C$20,100%,CT75/'基本数据输入&amp;测算结果'!$C$20)))</f>
        <v>0</v>
      </c>
      <c r="CV75" s="42" t="str">
        <f>IFERROR((AVERAGE(Z75:AG75)*2-'基本数据输入&amp;测算结果'!$C$24*2)/'基本数据输入&amp;测算结果'!$C$21/'基本数据输入&amp;测算结果'!$C$22,"无数据/数据缺失")</f>
        <v>无数据/数据缺失</v>
      </c>
      <c r="CW75" s="42">
        <f>IF(CV75&lt;0,0,IF(CV75="无数据/数据缺失",0%,IF(CV75&gt;'基本数据输入&amp;测算结果'!$C$20*CU75,CU75,CV75/'基本数据输入&amp;测算结果'!$C$20*CU75)))</f>
        <v>0</v>
      </c>
      <c r="CX75" s="42" t="str">
        <f>IFERROR(('基本数据输入&amp;测算结果'!$C$19*3-AVERAGE(AT75:BE75)*3-'基本数据输入&amp;测算结果'!$C$23*3)/'基本数据输入&amp;测算结果'!$C$21*'基本数据输入&amp;测算结果'!$C$22,"无数据/数据缺失")</f>
        <v>无数据/数据缺失</v>
      </c>
      <c r="CY75" s="42">
        <f>IF(CX75&lt;0,0,IF(CX75="无数据/数据缺失",0%,IF(CX75&gt;'基本数据输入&amp;测算结果'!$C$20,100%,CX75/'基本数据输入&amp;测算结果'!$C$20)))</f>
        <v>0</v>
      </c>
      <c r="CZ75" s="42" t="str">
        <f>IFERROR((AVERAGE(BN75:CK75)*6-'基本数据输入&amp;测算结果'!$C$24*6)/'基本数据输入&amp;测算结果'!$C$21/'基本数据输入&amp;测算结果'!$C$22,"无数据/数据缺失")</f>
        <v>无数据/数据缺失</v>
      </c>
      <c r="DA75" s="42">
        <f>IF(CZ75&lt;0,0,IF(CZ75="无数据/数据缺失",0,IF('基本数据输入&amp;测算结果'!$C$20*CY75&gt;CZ75,CZ75/'基本数据输入&amp;测算结果'!$C$20*CY75,CY75)))</f>
        <v>0</v>
      </c>
      <c r="DB75" s="49">
        <f t="shared" si="6"/>
        <v>0</v>
      </c>
      <c r="DC75" s="50"/>
      <c r="DD75" s="50"/>
    </row>
    <row r="76" customHeight="1" spans="1:108">
      <c r="A76" s="52" t="s">
        <v>130</v>
      </c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  <c r="BQ76" s="51"/>
      <c r="BR76" s="51"/>
      <c r="BS76" s="51"/>
      <c r="BT76" s="51"/>
      <c r="BU76" s="51"/>
      <c r="BV76" s="51"/>
      <c r="BW76" s="51"/>
      <c r="BX76" s="51"/>
      <c r="BY76" s="51"/>
      <c r="BZ76" s="51"/>
      <c r="CA76" s="51"/>
      <c r="CB76" s="51"/>
      <c r="CC76" s="51"/>
      <c r="CD76" s="51"/>
      <c r="CE76" s="51"/>
      <c r="CF76" s="51"/>
      <c r="CG76" s="51"/>
      <c r="CH76" s="51"/>
      <c r="CI76" s="51"/>
      <c r="CJ76" s="51"/>
      <c r="CK76" s="51"/>
      <c r="CL76" s="51"/>
      <c r="CM76" s="51"/>
      <c r="CN76" s="51"/>
      <c r="CO76" s="51"/>
      <c r="CP76" s="51"/>
      <c r="CQ76" s="51"/>
      <c r="CR76" s="51"/>
      <c r="CS76" s="51"/>
      <c r="CT76" s="42" t="str">
        <f>IFERROR(('基本数据输入&amp;测算结果'!$C$19*7-AVERAGE(B76:Y76,CP76:CS76)*7-'基本数据输入&amp;测算结果'!$C$23*7)/'基本数据输入&amp;测算结果'!$C$21*'基本数据输入&amp;测算结果'!$C$22,"无数据/数据缺失")</f>
        <v>无数据/数据缺失</v>
      </c>
      <c r="CU76" s="42">
        <f>IF(CT76&lt;0,0,IF(CT76="无数据/数据缺失",0%,IF(CT76&gt;'基本数据输入&amp;测算结果'!$C$20,100%,CT76/'基本数据输入&amp;测算结果'!$C$20)))</f>
        <v>0</v>
      </c>
      <c r="CV76" s="42" t="str">
        <f>IFERROR((AVERAGE(Z76:AG76)*2-'基本数据输入&amp;测算结果'!$C$24*2)/'基本数据输入&amp;测算结果'!$C$21/'基本数据输入&amp;测算结果'!$C$22,"无数据/数据缺失")</f>
        <v>无数据/数据缺失</v>
      </c>
      <c r="CW76" s="42">
        <f>IF(CV76&lt;0,0,IF(CV76="无数据/数据缺失",0%,IF(CV76&gt;'基本数据输入&amp;测算结果'!$C$20*CU76,CU76,CV76/'基本数据输入&amp;测算结果'!$C$20*CU76)))</f>
        <v>0</v>
      </c>
      <c r="CX76" s="42" t="str">
        <f>IFERROR(('基本数据输入&amp;测算结果'!$C$19*3-AVERAGE(AT76:BE76)*3-'基本数据输入&amp;测算结果'!$C$23*3)/'基本数据输入&amp;测算结果'!$C$21*'基本数据输入&amp;测算结果'!$C$22,"无数据/数据缺失")</f>
        <v>无数据/数据缺失</v>
      </c>
      <c r="CY76" s="42">
        <f>IF(CX76&lt;0,0,IF(CX76="无数据/数据缺失",0%,IF(CX76&gt;'基本数据输入&amp;测算结果'!$C$20,100%,CX76/'基本数据输入&amp;测算结果'!$C$20)))</f>
        <v>0</v>
      </c>
      <c r="CZ76" s="42" t="str">
        <f>IFERROR((AVERAGE(BN76:CK76)*6-'基本数据输入&amp;测算结果'!$C$24*6)/'基本数据输入&amp;测算结果'!$C$21/'基本数据输入&amp;测算结果'!$C$22,"无数据/数据缺失")</f>
        <v>无数据/数据缺失</v>
      </c>
      <c r="DA76" s="42">
        <f>IF(CZ76&lt;0,0,IF(CZ76="无数据/数据缺失",0,IF('基本数据输入&amp;测算结果'!$C$20*CY76&gt;CZ76,CZ76/'基本数据输入&amp;测算结果'!$C$20*CY76,CY76)))</f>
        <v>0</v>
      </c>
      <c r="DB76" s="49">
        <f t="shared" si="6"/>
        <v>0</v>
      </c>
      <c r="DC76" s="50"/>
      <c r="DD76" s="50"/>
    </row>
    <row r="77" customHeight="1" spans="1:108">
      <c r="A77" s="52" t="s">
        <v>131</v>
      </c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  <c r="BQ77" s="51"/>
      <c r="BR77" s="51"/>
      <c r="BS77" s="51"/>
      <c r="BT77" s="51"/>
      <c r="BU77" s="51"/>
      <c r="BV77" s="51"/>
      <c r="BW77" s="51"/>
      <c r="BX77" s="51"/>
      <c r="BY77" s="51"/>
      <c r="BZ77" s="51"/>
      <c r="CA77" s="51"/>
      <c r="CB77" s="51"/>
      <c r="CC77" s="51"/>
      <c r="CD77" s="51"/>
      <c r="CE77" s="51"/>
      <c r="CF77" s="51"/>
      <c r="CG77" s="51"/>
      <c r="CH77" s="51"/>
      <c r="CI77" s="51"/>
      <c r="CJ77" s="51"/>
      <c r="CK77" s="51"/>
      <c r="CL77" s="51"/>
      <c r="CM77" s="51"/>
      <c r="CN77" s="51"/>
      <c r="CO77" s="51"/>
      <c r="CP77" s="51"/>
      <c r="CQ77" s="51"/>
      <c r="CR77" s="51"/>
      <c r="CS77" s="51"/>
      <c r="CT77" s="42" t="str">
        <f>IFERROR(('基本数据输入&amp;测算结果'!$C$19*7-AVERAGE(B77:Y77,CP77:CS77)*7-'基本数据输入&amp;测算结果'!$C$23*7)/'基本数据输入&amp;测算结果'!$C$21*'基本数据输入&amp;测算结果'!$C$22,"无数据/数据缺失")</f>
        <v>无数据/数据缺失</v>
      </c>
      <c r="CU77" s="42">
        <f>IF(CT77&lt;0,0,IF(CT77="无数据/数据缺失",0%,IF(CT77&gt;'基本数据输入&amp;测算结果'!$C$20,100%,CT77/'基本数据输入&amp;测算结果'!$C$20)))</f>
        <v>0</v>
      </c>
      <c r="CV77" s="42" t="str">
        <f>IFERROR((AVERAGE(Z77:AG77)*2-'基本数据输入&amp;测算结果'!$C$24*2)/'基本数据输入&amp;测算结果'!$C$21/'基本数据输入&amp;测算结果'!$C$22,"无数据/数据缺失")</f>
        <v>无数据/数据缺失</v>
      </c>
      <c r="CW77" s="42">
        <f>IF(CV77&lt;0,0,IF(CV77="无数据/数据缺失",0%,IF(CV77&gt;'基本数据输入&amp;测算结果'!$C$20*CU77,CU77,CV77/'基本数据输入&amp;测算结果'!$C$20*CU77)))</f>
        <v>0</v>
      </c>
      <c r="CX77" s="42" t="str">
        <f>IFERROR(('基本数据输入&amp;测算结果'!$C$19*3-AVERAGE(AT77:BE77)*3-'基本数据输入&amp;测算结果'!$C$23*3)/'基本数据输入&amp;测算结果'!$C$21*'基本数据输入&amp;测算结果'!$C$22,"无数据/数据缺失")</f>
        <v>无数据/数据缺失</v>
      </c>
      <c r="CY77" s="42">
        <f>IF(CX77&lt;0,0,IF(CX77="无数据/数据缺失",0%,IF(CX77&gt;'基本数据输入&amp;测算结果'!$C$20,100%,CX77/'基本数据输入&amp;测算结果'!$C$20)))</f>
        <v>0</v>
      </c>
      <c r="CZ77" s="42" t="str">
        <f>IFERROR((AVERAGE(BN77:CK77)*6-'基本数据输入&amp;测算结果'!$C$24*6)/'基本数据输入&amp;测算结果'!$C$21/'基本数据输入&amp;测算结果'!$C$22,"无数据/数据缺失")</f>
        <v>无数据/数据缺失</v>
      </c>
      <c r="DA77" s="42">
        <f>IF(CZ77&lt;0,0,IF(CZ77="无数据/数据缺失",0,IF('基本数据输入&amp;测算结果'!$C$20*CY77&gt;CZ77,CZ77/'基本数据输入&amp;测算结果'!$C$20*CY77,CY77)))</f>
        <v>0</v>
      </c>
      <c r="DB77" s="49">
        <f t="shared" si="6"/>
        <v>0</v>
      </c>
      <c r="DC77" s="50"/>
      <c r="DD77" s="50"/>
    </row>
    <row r="78" customHeight="1" spans="1:108">
      <c r="A78" s="52" t="s">
        <v>132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  <c r="BQ78" s="51"/>
      <c r="BR78" s="51"/>
      <c r="BS78" s="51"/>
      <c r="BT78" s="51"/>
      <c r="BU78" s="51"/>
      <c r="BV78" s="51"/>
      <c r="BW78" s="51"/>
      <c r="BX78" s="51"/>
      <c r="BY78" s="51"/>
      <c r="BZ78" s="51"/>
      <c r="CA78" s="51"/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  <c r="CM78" s="51"/>
      <c r="CN78" s="51"/>
      <c r="CO78" s="51"/>
      <c r="CP78" s="51"/>
      <c r="CQ78" s="51"/>
      <c r="CR78" s="51"/>
      <c r="CS78" s="51"/>
      <c r="CT78" s="42" t="str">
        <f>IFERROR(('基本数据输入&amp;测算结果'!$C$19*7-AVERAGE(B78:Y78,CP78:CS78)*7-'基本数据输入&amp;测算结果'!$C$23*7)/'基本数据输入&amp;测算结果'!$C$21*'基本数据输入&amp;测算结果'!$C$22,"无数据/数据缺失")</f>
        <v>无数据/数据缺失</v>
      </c>
      <c r="CU78" s="42">
        <f>IF(CT78&lt;0,0,IF(CT78="无数据/数据缺失",0%,IF(CT78&gt;'基本数据输入&amp;测算结果'!$C$20,100%,CT78/'基本数据输入&amp;测算结果'!$C$20)))</f>
        <v>0</v>
      </c>
      <c r="CV78" s="42" t="str">
        <f>IFERROR((AVERAGE(Z78:AG78)*2-'基本数据输入&amp;测算结果'!$C$24*2)/'基本数据输入&amp;测算结果'!$C$21/'基本数据输入&amp;测算结果'!$C$22,"无数据/数据缺失")</f>
        <v>无数据/数据缺失</v>
      </c>
      <c r="CW78" s="42">
        <f>IF(CV78&lt;0,0,IF(CV78="无数据/数据缺失",0%,IF(CV78&gt;'基本数据输入&amp;测算结果'!$C$20*CU78,CU78,CV78/'基本数据输入&amp;测算结果'!$C$20*CU78)))</f>
        <v>0</v>
      </c>
      <c r="CX78" s="42" t="str">
        <f>IFERROR(('基本数据输入&amp;测算结果'!$C$19*3-AVERAGE(AT78:BE78)*3-'基本数据输入&amp;测算结果'!$C$23*3)/'基本数据输入&amp;测算结果'!$C$21*'基本数据输入&amp;测算结果'!$C$22,"无数据/数据缺失")</f>
        <v>无数据/数据缺失</v>
      </c>
      <c r="CY78" s="42">
        <f>IF(CX78&lt;0,0,IF(CX78="无数据/数据缺失",0%,IF(CX78&gt;'基本数据输入&amp;测算结果'!$C$20,100%,CX78/'基本数据输入&amp;测算结果'!$C$20)))</f>
        <v>0</v>
      </c>
      <c r="CZ78" s="42" t="str">
        <f>IFERROR((AVERAGE(BN78:CK78)*6-'基本数据输入&amp;测算结果'!$C$24*6)/'基本数据输入&amp;测算结果'!$C$21/'基本数据输入&amp;测算结果'!$C$22,"无数据/数据缺失")</f>
        <v>无数据/数据缺失</v>
      </c>
      <c r="DA78" s="42">
        <f>IF(CZ78&lt;0,0,IF(CZ78="无数据/数据缺失",0,IF('基本数据输入&amp;测算结果'!$C$20*CY78&gt;CZ78,CZ78/'基本数据输入&amp;测算结果'!$C$20*CY78,CY78)))</f>
        <v>0</v>
      </c>
      <c r="DB78" s="49">
        <f t="shared" si="6"/>
        <v>0</v>
      </c>
      <c r="DC78" s="50"/>
      <c r="DD78" s="50"/>
    </row>
    <row r="79" customHeight="1" spans="1:108">
      <c r="A79" s="52" t="s">
        <v>133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  <c r="BQ79" s="51"/>
      <c r="BR79" s="51"/>
      <c r="BS79" s="51"/>
      <c r="BT79" s="51"/>
      <c r="BU79" s="51"/>
      <c r="BV79" s="51"/>
      <c r="BW79" s="51"/>
      <c r="BX79" s="51"/>
      <c r="BY79" s="51"/>
      <c r="BZ79" s="51"/>
      <c r="CA79" s="51"/>
      <c r="CB79" s="51"/>
      <c r="CC79" s="51"/>
      <c r="CD79" s="51"/>
      <c r="CE79" s="51"/>
      <c r="CF79" s="51"/>
      <c r="CG79" s="51"/>
      <c r="CH79" s="51"/>
      <c r="CI79" s="51"/>
      <c r="CJ79" s="51"/>
      <c r="CK79" s="51"/>
      <c r="CL79" s="51"/>
      <c r="CM79" s="51"/>
      <c r="CN79" s="51"/>
      <c r="CO79" s="51"/>
      <c r="CP79" s="51"/>
      <c r="CQ79" s="51"/>
      <c r="CR79" s="51"/>
      <c r="CS79" s="51"/>
      <c r="CT79" s="42" t="str">
        <f>IFERROR(('基本数据输入&amp;测算结果'!$C$19*7-AVERAGE(B79:Y79,CP79:CS79)*7-'基本数据输入&amp;测算结果'!$C$23*7)/'基本数据输入&amp;测算结果'!$C$21*'基本数据输入&amp;测算结果'!$C$22,"无数据/数据缺失")</f>
        <v>无数据/数据缺失</v>
      </c>
      <c r="CU79" s="42">
        <f>IF(CT79&lt;0,0,IF(CT79="无数据/数据缺失",0%,IF(CT79&gt;'基本数据输入&amp;测算结果'!$C$20,100%,CT79/'基本数据输入&amp;测算结果'!$C$20)))</f>
        <v>0</v>
      </c>
      <c r="CV79" s="42" t="str">
        <f>IFERROR((AVERAGE(Z79:AG79)*2-'基本数据输入&amp;测算结果'!$C$24*2)/'基本数据输入&amp;测算结果'!$C$21/'基本数据输入&amp;测算结果'!$C$22,"无数据/数据缺失")</f>
        <v>无数据/数据缺失</v>
      </c>
      <c r="CW79" s="42">
        <f>IF(CV79&lt;0,0,IF(CV79="无数据/数据缺失",0%,IF(CV79&gt;'基本数据输入&amp;测算结果'!$C$20*CU79,CU79,CV79/'基本数据输入&amp;测算结果'!$C$20*CU79)))</f>
        <v>0</v>
      </c>
      <c r="CX79" s="42" t="str">
        <f>IFERROR(('基本数据输入&amp;测算结果'!$C$19*3-AVERAGE(AT79:BE79)*3-'基本数据输入&amp;测算结果'!$C$23*3)/'基本数据输入&amp;测算结果'!$C$21*'基本数据输入&amp;测算结果'!$C$22,"无数据/数据缺失")</f>
        <v>无数据/数据缺失</v>
      </c>
      <c r="CY79" s="42">
        <f>IF(CX79&lt;0,0,IF(CX79="无数据/数据缺失",0%,IF(CX79&gt;'基本数据输入&amp;测算结果'!$C$20,100%,CX79/'基本数据输入&amp;测算结果'!$C$20)))</f>
        <v>0</v>
      </c>
      <c r="CZ79" s="42" t="str">
        <f>IFERROR((AVERAGE(BN79:CK79)*6-'基本数据输入&amp;测算结果'!$C$24*6)/'基本数据输入&amp;测算结果'!$C$21/'基本数据输入&amp;测算结果'!$C$22,"无数据/数据缺失")</f>
        <v>无数据/数据缺失</v>
      </c>
      <c r="DA79" s="42">
        <f>IF(CZ79&lt;0,0,IF(CZ79="无数据/数据缺失",0,IF('基本数据输入&amp;测算结果'!$C$20*CY79&gt;CZ79,CZ79/'基本数据输入&amp;测算结果'!$C$20*CY79,CY79)))</f>
        <v>0</v>
      </c>
      <c r="DB79" s="49">
        <f t="shared" si="6"/>
        <v>0</v>
      </c>
      <c r="DC79" s="50"/>
      <c r="DD79" s="50"/>
    </row>
    <row r="80" customHeight="1" spans="1:108">
      <c r="A80" s="52" t="s">
        <v>134</v>
      </c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  <c r="BQ80" s="51"/>
      <c r="BR80" s="51"/>
      <c r="BS80" s="51"/>
      <c r="BT80" s="51"/>
      <c r="BU80" s="51"/>
      <c r="BV80" s="51"/>
      <c r="BW80" s="51"/>
      <c r="BX80" s="51"/>
      <c r="BY80" s="51"/>
      <c r="BZ80" s="51"/>
      <c r="CA80" s="51"/>
      <c r="CB80" s="51"/>
      <c r="CC80" s="51"/>
      <c r="CD80" s="51"/>
      <c r="CE80" s="51"/>
      <c r="CF80" s="51"/>
      <c r="CG80" s="51"/>
      <c r="CH80" s="51"/>
      <c r="CI80" s="51"/>
      <c r="CJ80" s="51"/>
      <c r="CK80" s="51"/>
      <c r="CL80" s="51"/>
      <c r="CM80" s="51"/>
      <c r="CN80" s="51"/>
      <c r="CO80" s="51"/>
      <c r="CP80" s="51"/>
      <c r="CQ80" s="51"/>
      <c r="CR80" s="51"/>
      <c r="CS80" s="51"/>
      <c r="CT80" s="42" t="str">
        <f>IFERROR(('基本数据输入&amp;测算结果'!$C$19*7-AVERAGE(B80:Y80,CP80:CS80)*7-'基本数据输入&amp;测算结果'!$C$23*7)/'基本数据输入&amp;测算结果'!$C$21*'基本数据输入&amp;测算结果'!$C$22,"无数据/数据缺失")</f>
        <v>无数据/数据缺失</v>
      </c>
      <c r="CU80" s="42">
        <f>IF(CT80&lt;0,0,IF(CT80="无数据/数据缺失",0%,IF(CT80&gt;'基本数据输入&amp;测算结果'!$C$20,100%,CT80/'基本数据输入&amp;测算结果'!$C$20)))</f>
        <v>0</v>
      </c>
      <c r="CV80" s="42" t="str">
        <f>IFERROR((AVERAGE(Z80:AG80)*2-'基本数据输入&amp;测算结果'!$C$24*2)/'基本数据输入&amp;测算结果'!$C$21/'基本数据输入&amp;测算结果'!$C$22,"无数据/数据缺失")</f>
        <v>无数据/数据缺失</v>
      </c>
      <c r="CW80" s="42">
        <f>IF(CV80&lt;0,0,IF(CV80="无数据/数据缺失",0%,IF(CV80&gt;'基本数据输入&amp;测算结果'!$C$20*CU80,CU80,CV80/'基本数据输入&amp;测算结果'!$C$20*CU80)))</f>
        <v>0</v>
      </c>
      <c r="CX80" s="42" t="str">
        <f>IFERROR(('基本数据输入&amp;测算结果'!$C$19*3-AVERAGE(AT80:BE80)*3-'基本数据输入&amp;测算结果'!$C$23*3)/'基本数据输入&amp;测算结果'!$C$21*'基本数据输入&amp;测算结果'!$C$22,"无数据/数据缺失")</f>
        <v>无数据/数据缺失</v>
      </c>
      <c r="CY80" s="42">
        <f>IF(CX80&lt;0,0,IF(CX80="无数据/数据缺失",0%,IF(CX80&gt;'基本数据输入&amp;测算结果'!$C$20,100%,CX80/'基本数据输入&amp;测算结果'!$C$20)))</f>
        <v>0</v>
      </c>
      <c r="CZ80" s="42" t="str">
        <f>IFERROR((AVERAGE(BN80:CK80)*6-'基本数据输入&amp;测算结果'!$C$24*6)/'基本数据输入&amp;测算结果'!$C$21/'基本数据输入&amp;测算结果'!$C$22,"无数据/数据缺失")</f>
        <v>无数据/数据缺失</v>
      </c>
      <c r="DA80" s="42">
        <f>IF(CZ80&lt;0,0,IF(CZ80="无数据/数据缺失",0,IF('基本数据输入&amp;测算结果'!$C$20*CY80&gt;CZ80,CZ80/'基本数据输入&amp;测算结果'!$C$20*CY80,CY80)))</f>
        <v>0</v>
      </c>
      <c r="DB80" s="49">
        <f t="shared" si="6"/>
        <v>0</v>
      </c>
      <c r="DC80" s="50"/>
      <c r="DD80" s="50"/>
    </row>
    <row r="81" customHeight="1" spans="1:108">
      <c r="A81" s="52" t="s">
        <v>135</v>
      </c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  <c r="BQ81" s="51"/>
      <c r="BR81" s="51"/>
      <c r="BS81" s="51"/>
      <c r="BT81" s="51"/>
      <c r="BU81" s="51"/>
      <c r="BV81" s="51"/>
      <c r="BW81" s="51"/>
      <c r="BX81" s="51"/>
      <c r="BY81" s="51"/>
      <c r="BZ81" s="51"/>
      <c r="CA81" s="51"/>
      <c r="CB81" s="51"/>
      <c r="CC81" s="51"/>
      <c r="CD81" s="51"/>
      <c r="CE81" s="51"/>
      <c r="CF81" s="51"/>
      <c r="CG81" s="51"/>
      <c r="CH81" s="51"/>
      <c r="CI81" s="51"/>
      <c r="CJ81" s="51"/>
      <c r="CK81" s="51"/>
      <c r="CL81" s="51"/>
      <c r="CM81" s="51"/>
      <c r="CN81" s="51"/>
      <c r="CO81" s="51"/>
      <c r="CP81" s="51"/>
      <c r="CQ81" s="51"/>
      <c r="CR81" s="51"/>
      <c r="CS81" s="51"/>
      <c r="CT81" s="42" t="str">
        <f>IFERROR(('基本数据输入&amp;测算结果'!$C$19*7-AVERAGE(B81:Y81,CP81:CS81)*7-'基本数据输入&amp;测算结果'!$C$23*7)/'基本数据输入&amp;测算结果'!$C$21*'基本数据输入&amp;测算结果'!$C$22,"无数据/数据缺失")</f>
        <v>无数据/数据缺失</v>
      </c>
      <c r="CU81" s="42">
        <f>IF(CT81&lt;0,0,IF(CT81="无数据/数据缺失",0%,IF(CT81&gt;'基本数据输入&amp;测算结果'!$C$20,100%,CT81/'基本数据输入&amp;测算结果'!$C$20)))</f>
        <v>0</v>
      </c>
      <c r="CV81" s="42" t="str">
        <f>IFERROR((AVERAGE(Z81:AG81)*2-'基本数据输入&amp;测算结果'!$C$24*2)/'基本数据输入&amp;测算结果'!$C$21/'基本数据输入&amp;测算结果'!$C$22,"无数据/数据缺失")</f>
        <v>无数据/数据缺失</v>
      </c>
      <c r="CW81" s="42">
        <f>IF(CV81&lt;0,0,IF(CV81="无数据/数据缺失",0%,IF(CV81&gt;'基本数据输入&amp;测算结果'!$C$20*CU81,CU81,CV81/'基本数据输入&amp;测算结果'!$C$20*CU81)))</f>
        <v>0</v>
      </c>
      <c r="CX81" s="42" t="str">
        <f>IFERROR(('基本数据输入&amp;测算结果'!$C$19*3-AVERAGE(AT81:BE81)*3-'基本数据输入&amp;测算结果'!$C$23*3)/'基本数据输入&amp;测算结果'!$C$21*'基本数据输入&amp;测算结果'!$C$22,"无数据/数据缺失")</f>
        <v>无数据/数据缺失</v>
      </c>
      <c r="CY81" s="42">
        <f>IF(CX81&lt;0,0,IF(CX81="无数据/数据缺失",0%,IF(CX81&gt;'基本数据输入&amp;测算结果'!$C$20,100%,CX81/'基本数据输入&amp;测算结果'!$C$20)))</f>
        <v>0</v>
      </c>
      <c r="CZ81" s="42" t="str">
        <f>IFERROR((AVERAGE(BN81:CK81)*6-'基本数据输入&amp;测算结果'!$C$24*6)/'基本数据输入&amp;测算结果'!$C$21/'基本数据输入&amp;测算结果'!$C$22,"无数据/数据缺失")</f>
        <v>无数据/数据缺失</v>
      </c>
      <c r="DA81" s="42">
        <f>IF(CZ81&lt;0,0,IF(CZ81="无数据/数据缺失",0,IF('基本数据输入&amp;测算结果'!$C$20*CY81&gt;CZ81,CZ81/'基本数据输入&amp;测算结果'!$C$20*CY81,CY81)))</f>
        <v>0</v>
      </c>
      <c r="DB81" s="49">
        <f t="shared" si="6"/>
        <v>0</v>
      </c>
      <c r="DC81" s="50"/>
      <c r="DD81" s="50"/>
    </row>
    <row r="82" customHeight="1" spans="1:108">
      <c r="A82" s="52" t="s">
        <v>136</v>
      </c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  <c r="BQ82" s="51"/>
      <c r="BR82" s="51"/>
      <c r="BS82" s="51"/>
      <c r="BT82" s="51"/>
      <c r="BU82" s="51"/>
      <c r="BV82" s="51"/>
      <c r="BW82" s="51"/>
      <c r="BX82" s="51"/>
      <c r="BY82" s="51"/>
      <c r="BZ82" s="51"/>
      <c r="CA82" s="51"/>
      <c r="CB82" s="51"/>
      <c r="CC82" s="51"/>
      <c r="CD82" s="51"/>
      <c r="CE82" s="51"/>
      <c r="CF82" s="51"/>
      <c r="CG82" s="51"/>
      <c r="CH82" s="51"/>
      <c r="CI82" s="51"/>
      <c r="CJ82" s="51"/>
      <c r="CK82" s="51"/>
      <c r="CL82" s="51"/>
      <c r="CM82" s="51"/>
      <c r="CN82" s="51"/>
      <c r="CO82" s="51"/>
      <c r="CP82" s="51"/>
      <c r="CQ82" s="51"/>
      <c r="CR82" s="51"/>
      <c r="CS82" s="51"/>
      <c r="CT82" s="42" t="str">
        <f>IFERROR(('基本数据输入&amp;测算结果'!$C$19*7-AVERAGE(B82:Y82,CP82:CS82)*7-'基本数据输入&amp;测算结果'!$C$23*7)/'基本数据输入&amp;测算结果'!$C$21*'基本数据输入&amp;测算结果'!$C$22,"无数据/数据缺失")</f>
        <v>无数据/数据缺失</v>
      </c>
      <c r="CU82" s="42">
        <f>IF(CT82&lt;0,0,IF(CT82="无数据/数据缺失",0%,IF(CT82&gt;'基本数据输入&amp;测算结果'!$C$20,100%,CT82/'基本数据输入&amp;测算结果'!$C$20)))</f>
        <v>0</v>
      </c>
      <c r="CV82" s="42" t="str">
        <f>IFERROR((AVERAGE(Z82:AG82)*2-'基本数据输入&amp;测算结果'!$C$24*2)/'基本数据输入&amp;测算结果'!$C$21/'基本数据输入&amp;测算结果'!$C$22,"无数据/数据缺失")</f>
        <v>无数据/数据缺失</v>
      </c>
      <c r="CW82" s="42">
        <f>IF(CV82&lt;0,0,IF(CV82="无数据/数据缺失",0%,IF(CV82&gt;'基本数据输入&amp;测算结果'!$C$20*CU82,CU82,CV82/'基本数据输入&amp;测算结果'!$C$20*CU82)))</f>
        <v>0</v>
      </c>
      <c r="CX82" s="42" t="str">
        <f>IFERROR(('基本数据输入&amp;测算结果'!$C$19*3-AVERAGE(AT82:BE82)*3-'基本数据输入&amp;测算结果'!$C$23*3)/'基本数据输入&amp;测算结果'!$C$21*'基本数据输入&amp;测算结果'!$C$22,"无数据/数据缺失")</f>
        <v>无数据/数据缺失</v>
      </c>
      <c r="CY82" s="42">
        <f>IF(CX82&lt;0,0,IF(CX82="无数据/数据缺失",0%,IF(CX82&gt;'基本数据输入&amp;测算结果'!$C$20,100%,CX82/'基本数据输入&amp;测算结果'!$C$20)))</f>
        <v>0</v>
      </c>
      <c r="CZ82" s="42" t="str">
        <f>IFERROR((AVERAGE(BN82:CK82)*6-'基本数据输入&amp;测算结果'!$C$24*6)/'基本数据输入&amp;测算结果'!$C$21/'基本数据输入&amp;测算结果'!$C$22,"无数据/数据缺失")</f>
        <v>无数据/数据缺失</v>
      </c>
      <c r="DA82" s="42">
        <f>IF(CZ82&lt;0,0,IF(CZ82="无数据/数据缺失",0,IF('基本数据输入&amp;测算结果'!$C$20*CY82&gt;CZ82,CZ82/'基本数据输入&amp;测算结果'!$C$20*CY82,CY82)))</f>
        <v>0</v>
      </c>
      <c r="DB82" s="49">
        <f t="shared" si="6"/>
        <v>0</v>
      </c>
      <c r="DC82" s="50"/>
      <c r="DD82" s="50"/>
    </row>
    <row r="83" customHeight="1" spans="1:108">
      <c r="A83" s="52" t="s">
        <v>137</v>
      </c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  <c r="CC83" s="51"/>
      <c r="CD83" s="51"/>
      <c r="CE83" s="51"/>
      <c r="CF83" s="51"/>
      <c r="CG83" s="51"/>
      <c r="CH83" s="51"/>
      <c r="CI83" s="51"/>
      <c r="CJ83" s="51"/>
      <c r="CK83" s="51"/>
      <c r="CL83" s="51"/>
      <c r="CM83" s="51"/>
      <c r="CN83" s="51"/>
      <c r="CO83" s="51"/>
      <c r="CP83" s="51"/>
      <c r="CQ83" s="51"/>
      <c r="CR83" s="51"/>
      <c r="CS83" s="51"/>
      <c r="CT83" s="42" t="str">
        <f>IFERROR(('基本数据输入&amp;测算结果'!$C$19*7-AVERAGE(B83:Y83,CP83:CS83)*7-'基本数据输入&amp;测算结果'!$C$23*7)/'基本数据输入&amp;测算结果'!$C$21*'基本数据输入&amp;测算结果'!$C$22,"无数据/数据缺失")</f>
        <v>无数据/数据缺失</v>
      </c>
      <c r="CU83" s="42">
        <f>IF(CT83&lt;0,0,IF(CT83="无数据/数据缺失",0%,IF(CT83&gt;'基本数据输入&amp;测算结果'!$C$20,100%,CT83/'基本数据输入&amp;测算结果'!$C$20)))</f>
        <v>0</v>
      </c>
      <c r="CV83" s="42" t="str">
        <f>IFERROR((AVERAGE(Z83:AG83)*2-'基本数据输入&amp;测算结果'!$C$24*2)/'基本数据输入&amp;测算结果'!$C$21/'基本数据输入&amp;测算结果'!$C$22,"无数据/数据缺失")</f>
        <v>无数据/数据缺失</v>
      </c>
      <c r="CW83" s="42">
        <f>IF(CV83&lt;0,0,IF(CV83="无数据/数据缺失",0%,IF(CV83&gt;'基本数据输入&amp;测算结果'!$C$20*CU83,CU83,CV83/'基本数据输入&amp;测算结果'!$C$20*CU83)))</f>
        <v>0</v>
      </c>
      <c r="CX83" s="42" t="str">
        <f>IFERROR(('基本数据输入&amp;测算结果'!$C$19*3-AVERAGE(AT83:BE83)*3-'基本数据输入&amp;测算结果'!$C$23*3)/'基本数据输入&amp;测算结果'!$C$21*'基本数据输入&amp;测算结果'!$C$22,"无数据/数据缺失")</f>
        <v>无数据/数据缺失</v>
      </c>
      <c r="CY83" s="42">
        <f>IF(CX83&lt;0,0,IF(CX83="无数据/数据缺失",0%,IF(CX83&gt;'基本数据输入&amp;测算结果'!$C$20,100%,CX83/'基本数据输入&amp;测算结果'!$C$20)))</f>
        <v>0</v>
      </c>
      <c r="CZ83" s="42" t="str">
        <f>IFERROR((AVERAGE(BN83:CK83)*6-'基本数据输入&amp;测算结果'!$C$24*6)/'基本数据输入&amp;测算结果'!$C$21/'基本数据输入&amp;测算结果'!$C$22,"无数据/数据缺失")</f>
        <v>无数据/数据缺失</v>
      </c>
      <c r="DA83" s="42">
        <f>IF(CZ83&lt;0,0,IF(CZ83="无数据/数据缺失",0,IF('基本数据输入&amp;测算结果'!$C$20*CY83&gt;CZ83,CZ83/'基本数据输入&amp;测算结果'!$C$20*CY83,CY83)))</f>
        <v>0</v>
      </c>
      <c r="DB83" s="49">
        <f t="shared" si="6"/>
        <v>0</v>
      </c>
      <c r="DC83" s="50"/>
      <c r="DD83" s="50"/>
    </row>
    <row r="84" customHeight="1" spans="1:108">
      <c r="A84" s="52" t="s">
        <v>138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  <c r="BQ84" s="51"/>
      <c r="BR84" s="51"/>
      <c r="BS84" s="51"/>
      <c r="BT84" s="51"/>
      <c r="BU84" s="51"/>
      <c r="BV84" s="51"/>
      <c r="BW84" s="51"/>
      <c r="BX84" s="51"/>
      <c r="BY84" s="51"/>
      <c r="BZ84" s="51"/>
      <c r="CA84" s="51"/>
      <c r="CB84" s="51"/>
      <c r="CC84" s="51"/>
      <c r="CD84" s="51"/>
      <c r="CE84" s="51"/>
      <c r="CF84" s="51"/>
      <c r="CG84" s="51"/>
      <c r="CH84" s="51"/>
      <c r="CI84" s="51"/>
      <c r="CJ84" s="51"/>
      <c r="CK84" s="51"/>
      <c r="CL84" s="51"/>
      <c r="CM84" s="51"/>
      <c r="CN84" s="51"/>
      <c r="CO84" s="51"/>
      <c r="CP84" s="51"/>
      <c r="CQ84" s="51"/>
      <c r="CR84" s="51"/>
      <c r="CS84" s="51"/>
      <c r="CT84" s="42" t="str">
        <f>IFERROR(('基本数据输入&amp;测算结果'!$C$19*7-AVERAGE(B84:Y84,CP84:CS84)*7-'基本数据输入&amp;测算结果'!$C$23*7)/'基本数据输入&amp;测算结果'!$C$21*'基本数据输入&amp;测算结果'!$C$22,"无数据/数据缺失")</f>
        <v>无数据/数据缺失</v>
      </c>
      <c r="CU84" s="42">
        <f>IF(CT84&lt;0,0,IF(CT84="无数据/数据缺失",0%,IF(CT84&gt;'基本数据输入&amp;测算结果'!$C$20,100%,CT84/'基本数据输入&amp;测算结果'!$C$20)))</f>
        <v>0</v>
      </c>
      <c r="CV84" s="42" t="str">
        <f>IFERROR((AVERAGE(Z84:AG84)*2-'基本数据输入&amp;测算结果'!$C$24*2)/'基本数据输入&amp;测算结果'!$C$21/'基本数据输入&amp;测算结果'!$C$22,"无数据/数据缺失")</f>
        <v>无数据/数据缺失</v>
      </c>
      <c r="CW84" s="42">
        <f>IF(CV84&lt;0,0,IF(CV84="无数据/数据缺失",0%,IF(CV84&gt;'基本数据输入&amp;测算结果'!$C$20*CU84,CU84,CV84/'基本数据输入&amp;测算结果'!$C$20*CU84)))</f>
        <v>0</v>
      </c>
      <c r="CX84" s="42" t="str">
        <f>IFERROR(('基本数据输入&amp;测算结果'!$C$19*3-AVERAGE(AT84:BE84)*3-'基本数据输入&amp;测算结果'!$C$23*3)/'基本数据输入&amp;测算结果'!$C$21*'基本数据输入&amp;测算结果'!$C$22,"无数据/数据缺失")</f>
        <v>无数据/数据缺失</v>
      </c>
      <c r="CY84" s="42">
        <f>IF(CX84&lt;0,0,IF(CX84="无数据/数据缺失",0%,IF(CX84&gt;'基本数据输入&amp;测算结果'!$C$20,100%,CX84/'基本数据输入&amp;测算结果'!$C$20)))</f>
        <v>0</v>
      </c>
      <c r="CZ84" s="42" t="str">
        <f>IFERROR((AVERAGE(BN84:CK84)*6-'基本数据输入&amp;测算结果'!$C$24*6)/'基本数据输入&amp;测算结果'!$C$21/'基本数据输入&amp;测算结果'!$C$22,"无数据/数据缺失")</f>
        <v>无数据/数据缺失</v>
      </c>
      <c r="DA84" s="42">
        <f>IF(CZ84&lt;0,0,IF(CZ84="无数据/数据缺失",0,IF('基本数据输入&amp;测算结果'!$C$20*CY84&gt;CZ84,CZ84/'基本数据输入&amp;测算结果'!$C$20*CY84,CY84)))</f>
        <v>0</v>
      </c>
      <c r="DB84" s="49">
        <f t="shared" si="6"/>
        <v>0</v>
      </c>
      <c r="DC84" s="50"/>
      <c r="DD84" s="50"/>
    </row>
    <row r="85" customHeight="1" spans="1:108">
      <c r="A85" s="52" t="s">
        <v>139</v>
      </c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  <c r="BQ85" s="51"/>
      <c r="BR85" s="51"/>
      <c r="BS85" s="51"/>
      <c r="BT85" s="51"/>
      <c r="BU85" s="51"/>
      <c r="BV85" s="51"/>
      <c r="BW85" s="51"/>
      <c r="BX85" s="51"/>
      <c r="BY85" s="51"/>
      <c r="BZ85" s="51"/>
      <c r="CA85" s="51"/>
      <c r="CB85" s="51"/>
      <c r="CC85" s="51"/>
      <c r="CD85" s="51"/>
      <c r="CE85" s="51"/>
      <c r="CF85" s="51"/>
      <c r="CG85" s="51"/>
      <c r="CH85" s="51"/>
      <c r="CI85" s="51"/>
      <c r="CJ85" s="51"/>
      <c r="CK85" s="51"/>
      <c r="CL85" s="51"/>
      <c r="CM85" s="51"/>
      <c r="CN85" s="51"/>
      <c r="CO85" s="51"/>
      <c r="CP85" s="51"/>
      <c r="CQ85" s="51"/>
      <c r="CR85" s="51"/>
      <c r="CS85" s="51"/>
      <c r="CT85" s="42" t="str">
        <f>IFERROR(('基本数据输入&amp;测算结果'!$C$19*7-AVERAGE(B85:Y85,CP85:CS85)*7-'基本数据输入&amp;测算结果'!$C$23*7)/'基本数据输入&amp;测算结果'!$C$21*'基本数据输入&amp;测算结果'!$C$22,"无数据/数据缺失")</f>
        <v>无数据/数据缺失</v>
      </c>
      <c r="CU85" s="42">
        <f>IF(CT85&lt;0,0,IF(CT85="无数据/数据缺失",0%,IF(CT85&gt;'基本数据输入&amp;测算结果'!$C$20,100%,CT85/'基本数据输入&amp;测算结果'!$C$20)))</f>
        <v>0</v>
      </c>
      <c r="CV85" s="42" t="str">
        <f>IFERROR((AVERAGE(Z85:AG85)*2-'基本数据输入&amp;测算结果'!$C$24*2)/'基本数据输入&amp;测算结果'!$C$21/'基本数据输入&amp;测算结果'!$C$22,"无数据/数据缺失")</f>
        <v>无数据/数据缺失</v>
      </c>
      <c r="CW85" s="42">
        <f>IF(CV85&lt;0,0,IF(CV85="无数据/数据缺失",0%,IF(CV85&gt;'基本数据输入&amp;测算结果'!$C$20*CU85,CU85,CV85/'基本数据输入&amp;测算结果'!$C$20*CU85)))</f>
        <v>0</v>
      </c>
      <c r="CX85" s="42" t="str">
        <f>IFERROR(('基本数据输入&amp;测算结果'!$C$19*3-AVERAGE(AT85:BE85)*3-'基本数据输入&amp;测算结果'!$C$23*3)/'基本数据输入&amp;测算结果'!$C$21*'基本数据输入&amp;测算结果'!$C$22,"无数据/数据缺失")</f>
        <v>无数据/数据缺失</v>
      </c>
      <c r="CY85" s="42">
        <f>IF(CX85&lt;0,0,IF(CX85="无数据/数据缺失",0%,IF(CX85&gt;'基本数据输入&amp;测算结果'!$C$20,100%,CX85/'基本数据输入&amp;测算结果'!$C$20)))</f>
        <v>0</v>
      </c>
      <c r="CZ85" s="42" t="str">
        <f>IFERROR((AVERAGE(BN85:CK85)*6-'基本数据输入&amp;测算结果'!$C$24*6)/'基本数据输入&amp;测算结果'!$C$21/'基本数据输入&amp;测算结果'!$C$22,"无数据/数据缺失")</f>
        <v>无数据/数据缺失</v>
      </c>
      <c r="DA85" s="42">
        <f>IF(CZ85&lt;0,0,IF(CZ85="无数据/数据缺失",0,IF('基本数据输入&amp;测算结果'!$C$20*CY85&gt;CZ85,CZ85/'基本数据输入&amp;测算结果'!$C$20*CY85,CY85)))</f>
        <v>0</v>
      </c>
      <c r="DB85" s="49">
        <f t="shared" si="6"/>
        <v>0</v>
      </c>
      <c r="DC85" s="50"/>
      <c r="DD85" s="50"/>
    </row>
    <row r="86" customHeight="1" spans="1:108">
      <c r="A86" s="52" t="s">
        <v>140</v>
      </c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  <c r="BQ86" s="51"/>
      <c r="BR86" s="51"/>
      <c r="BS86" s="51"/>
      <c r="BT86" s="51"/>
      <c r="BU86" s="51"/>
      <c r="BV86" s="51"/>
      <c r="BW86" s="51"/>
      <c r="BX86" s="51"/>
      <c r="BY86" s="51"/>
      <c r="BZ86" s="51"/>
      <c r="CA86" s="51"/>
      <c r="CB86" s="51"/>
      <c r="CC86" s="51"/>
      <c r="CD86" s="51"/>
      <c r="CE86" s="51"/>
      <c r="CF86" s="51"/>
      <c r="CG86" s="51"/>
      <c r="CH86" s="51"/>
      <c r="CI86" s="51"/>
      <c r="CJ86" s="51"/>
      <c r="CK86" s="51"/>
      <c r="CL86" s="51"/>
      <c r="CM86" s="51"/>
      <c r="CN86" s="51"/>
      <c r="CO86" s="51"/>
      <c r="CP86" s="51"/>
      <c r="CQ86" s="51"/>
      <c r="CR86" s="51"/>
      <c r="CS86" s="51"/>
      <c r="CT86" s="42" t="str">
        <f>IFERROR(('基本数据输入&amp;测算结果'!$C$19*7-AVERAGE(B86:Y86,CP86:CS86)*7-'基本数据输入&amp;测算结果'!$C$23*7)/'基本数据输入&amp;测算结果'!$C$21*'基本数据输入&amp;测算结果'!$C$22,"无数据/数据缺失")</f>
        <v>无数据/数据缺失</v>
      </c>
      <c r="CU86" s="42">
        <f>IF(CT86&lt;0,0,IF(CT86="无数据/数据缺失",0%,IF(CT86&gt;'基本数据输入&amp;测算结果'!$C$20,100%,CT86/'基本数据输入&amp;测算结果'!$C$20)))</f>
        <v>0</v>
      </c>
      <c r="CV86" s="42" t="str">
        <f>IFERROR((AVERAGE(Z86:AG86)*2-'基本数据输入&amp;测算结果'!$C$24*2)/'基本数据输入&amp;测算结果'!$C$21/'基本数据输入&amp;测算结果'!$C$22,"无数据/数据缺失")</f>
        <v>无数据/数据缺失</v>
      </c>
      <c r="CW86" s="42">
        <f>IF(CV86&lt;0,0,IF(CV86="无数据/数据缺失",0%,IF(CV86&gt;'基本数据输入&amp;测算结果'!$C$20*CU86,CU86,CV86/'基本数据输入&amp;测算结果'!$C$20*CU86)))</f>
        <v>0</v>
      </c>
      <c r="CX86" s="42" t="str">
        <f>IFERROR(('基本数据输入&amp;测算结果'!$C$19*3-AVERAGE(AT86:BE86)*3-'基本数据输入&amp;测算结果'!$C$23*3)/'基本数据输入&amp;测算结果'!$C$21*'基本数据输入&amp;测算结果'!$C$22,"无数据/数据缺失")</f>
        <v>无数据/数据缺失</v>
      </c>
      <c r="CY86" s="42">
        <f>IF(CX86&lt;0,0,IF(CX86="无数据/数据缺失",0%,IF(CX86&gt;'基本数据输入&amp;测算结果'!$C$20,100%,CX86/'基本数据输入&amp;测算结果'!$C$20)))</f>
        <v>0</v>
      </c>
      <c r="CZ86" s="42" t="str">
        <f>IFERROR((AVERAGE(BN86:CK86)*6-'基本数据输入&amp;测算结果'!$C$24*6)/'基本数据输入&amp;测算结果'!$C$21/'基本数据输入&amp;测算结果'!$C$22,"无数据/数据缺失")</f>
        <v>无数据/数据缺失</v>
      </c>
      <c r="DA86" s="42">
        <f>IF(CZ86&lt;0,0,IF(CZ86="无数据/数据缺失",0,IF('基本数据输入&amp;测算结果'!$C$20*CY86&gt;CZ86,CZ86/'基本数据输入&amp;测算结果'!$C$20*CY86,CY86)))</f>
        <v>0</v>
      </c>
      <c r="DB86" s="49">
        <f t="shared" si="6"/>
        <v>0</v>
      </c>
      <c r="DC86" s="50"/>
      <c r="DD86" s="50"/>
    </row>
    <row r="87" customHeight="1" spans="1:108">
      <c r="A87" s="52" t="s">
        <v>141</v>
      </c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  <c r="BQ87" s="51"/>
      <c r="BR87" s="51"/>
      <c r="BS87" s="51"/>
      <c r="BT87" s="51"/>
      <c r="BU87" s="51"/>
      <c r="BV87" s="51"/>
      <c r="BW87" s="51"/>
      <c r="BX87" s="51"/>
      <c r="BY87" s="51"/>
      <c r="BZ87" s="51"/>
      <c r="CA87" s="51"/>
      <c r="CB87" s="51"/>
      <c r="CC87" s="51"/>
      <c r="CD87" s="51"/>
      <c r="CE87" s="51"/>
      <c r="CF87" s="51"/>
      <c r="CG87" s="51"/>
      <c r="CH87" s="51"/>
      <c r="CI87" s="51"/>
      <c r="CJ87" s="51"/>
      <c r="CK87" s="51"/>
      <c r="CL87" s="51"/>
      <c r="CM87" s="51"/>
      <c r="CN87" s="51"/>
      <c r="CO87" s="51"/>
      <c r="CP87" s="51"/>
      <c r="CQ87" s="51"/>
      <c r="CR87" s="51"/>
      <c r="CS87" s="51"/>
      <c r="CT87" s="42" t="str">
        <f>IFERROR(('基本数据输入&amp;测算结果'!$C$19*7-AVERAGE(B87:Y87,CP87:CS87)*7-'基本数据输入&amp;测算结果'!$C$23*7)/'基本数据输入&amp;测算结果'!$C$21*'基本数据输入&amp;测算结果'!$C$22,"无数据/数据缺失")</f>
        <v>无数据/数据缺失</v>
      </c>
      <c r="CU87" s="42">
        <f>IF(CT87&lt;0,0,IF(CT87="无数据/数据缺失",0%,IF(CT87&gt;'基本数据输入&amp;测算结果'!$C$20,100%,CT87/'基本数据输入&amp;测算结果'!$C$20)))</f>
        <v>0</v>
      </c>
      <c r="CV87" s="42" t="str">
        <f>IFERROR((AVERAGE(Z87:AG87)*2-'基本数据输入&amp;测算结果'!$C$24*2)/'基本数据输入&amp;测算结果'!$C$21/'基本数据输入&amp;测算结果'!$C$22,"无数据/数据缺失")</f>
        <v>无数据/数据缺失</v>
      </c>
      <c r="CW87" s="42">
        <f>IF(CV87&lt;0,0,IF(CV87="无数据/数据缺失",0%,IF(CV87&gt;'基本数据输入&amp;测算结果'!$C$20*CU87,CU87,CV87/'基本数据输入&amp;测算结果'!$C$20*CU87)))</f>
        <v>0</v>
      </c>
      <c r="CX87" s="42" t="str">
        <f>IFERROR(('基本数据输入&amp;测算结果'!$C$19*3-AVERAGE(AT87:BE87)*3-'基本数据输入&amp;测算结果'!$C$23*3)/'基本数据输入&amp;测算结果'!$C$21*'基本数据输入&amp;测算结果'!$C$22,"无数据/数据缺失")</f>
        <v>无数据/数据缺失</v>
      </c>
      <c r="CY87" s="42">
        <f>IF(CX87&lt;0,0,IF(CX87="无数据/数据缺失",0%,IF(CX87&gt;'基本数据输入&amp;测算结果'!$C$20,100%,CX87/'基本数据输入&amp;测算结果'!$C$20)))</f>
        <v>0</v>
      </c>
      <c r="CZ87" s="42" t="str">
        <f>IFERROR((AVERAGE(BN87:CK87)*6-'基本数据输入&amp;测算结果'!$C$24*6)/'基本数据输入&amp;测算结果'!$C$21/'基本数据输入&amp;测算结果'!$C$22,"无数据/数据缺失")</f>
        <v>无数据/数据缺失</v>
      </c>
      <c r="DA87" s="42">
        <f>IF(CZ87&lt;0,0,IF(CZ87="无数据/数据缺失",0,IF('基本数据输入&amp;测算结果'!$C$20*CY87&gt;CZ87,CZ87/'基本数据输入&amp;测算结果'!$C$20*CY87,CY87)))</f>
        <v>0</v>
      </c>
      <c r="DB87" s="49">
        <f t="shared" si="6"/>
        <v>0</v>
      </c>
      <c r="DC87" s="50"/>
      <c r="DD87" s="50"/>
    </row>
    <row r="88" customHeight="1" spans="1:108">
      <c r="A88" s="52" t="s">
        <v>142</v>
      </c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  <c r="BQ88" s="51"/>
      <c r="BR88" s="51"/>
      <c r="BS88" s="51"/>
      <c r="BT88" s="51"/>
      <c r="BU88" s="51"/>
      <c r="BV88" s="51"/>
      <c r="BW88" s="51"/>
      <c r="BX88" s="51"/>
      <c r="BY88" s="51"/>
      <c r="BZ88" s="51"/>
      <c r="CA88" s="51"/>
      <c r="CB88" s="51"/>
      <c r="CC88" s="51"/>
      <c r="CD88" s="51"/>
      <c r="CE88" s="51"/>
      <c r="CF88" s="51"/>
      <c r="CG88" s="51"/>
      <c r="CH88" s="51"/>
      <c r="CI88" s="51"/>
      <c r="CJ88" s="51"/>
      <c r="CK88" s="51"/>
      <c r="CL88" s="51"/>
      <c r="CM88" s="51"/>
      <c r="CN88" s="51"/>
      <c r="CO88" s="51"/>
      <c r="CP88" s="51"/>
      <c r="CQ88" s="51"/>
      <c r="CR88" s="51"/>
      <c r="CS88" s="51"/>
      <c r="CT88" s="42" t="str">
        <f>IFERROR(('基本数据输入&amp;测算结果'!$C$19*7-AVERAGE(B88:Y88,CP88:CS88)*7-'基本数据输入&amp;测算结果'!$C$23*7)/'基本数据输入&amp;测算结果'!$C$21*'基本数据输入&amp;测算结果'!$C$22,"无数据/数据缺失")</f>
        <v>无数据/数据缺失</v>
      </c>
      <c r="CU88" s="42">
        <f>IF(CT88&lt;0,0,IF(CT88="无数据/数据缺失",0%,IF(CT88&gt;'基本数据输入&amp;测算结果'!$C$20,100%,CT88/'基本数据输入&amp;测算结果'!$C$20)))</f>
        <v>0</v>
      </c>
      <c r="CV88" s="42" t="str">
        <f>IFERROR((AVERAGE(Z88:AG88)*2-'基本数据输入&amp;测算结果'!$C$24*2)/'基本数据输入&amp;测算结果'!$C$21/'基本数据输入&amp;测算结果'!$C$22,"无数据/数据缺失")</f>
        <v>无数据/数据缺失</v>
      </c>
      <c r="CW88" s="42">
        <f>IF(CV88&lt;0,0,IF(CV88="无数据/数据缺失",0%,IF(CV88&gt;'基本数据输入&amp;测算结果'!$C$20*CU88,CU88,CV88/'基本数据输入&amp;测算结果'!$C$20*CU88)))</f>
        <v>0</v>
      </c>
      <c r="CX88" s="42" t="str">
        <f>IFERROR(('基本数据输入&amp;测算结果'!$C$19*3-AVERAGE(AT88:BE88)*3-'基本数据输入&amp;测算结果'!$C$23*3)/'基本数据输入&amp;测算结果'!$C$21*'基本数据输入&amp;测算结果'!$C$22,"无数据/数据缺失")</f>
        <v>无数据/数据缺失</v>
      </c>
      <c r="CY88" s="42">
        <f>IF(CX88&lt;0,0,IF(CX88="无数据/数据缺失",0%,IF(CX88&gt;'基本数据输入&amp;测算结果'!$C$20,100%,CX88/'基本数据输入&amp;测算结果'!$C$20)))</f>
        <v>0</v>
      </c>
      <c r="CZ88" s="42" t="str">
        <f>IFERROR((AVERAGE(BN88:CK88)*6-'基本数据输入&amp;测算结果'!$C$24*6)/'基本数据输入&amp;测算结果'!$C$21/'基本数据输入&amp;测算结果'!$C$22,"无数据/数据缺失")</f>
        <v>无数据/数据缺失</v>
      </c>
      <c r="DA88" s="42">
        <f>IF(CZ88&lt;0,0,IF(CZ88="无数据/数据缺失",0,IF('基本数据输入&amp;测算结果'!$C$20*CY88&gt;CZ88,CZ88/'基本数据输入&amp;测算结果'!$C$20*CY88,CY88)))</f>
        <v>0</v>
      </c>
      <c r="DB88" s="49">
        <f t="shared" si="6"/>
        <v>0</v>
      </c>
      <c r="DC88" s="50"/>
      <c r="DD88" s="50"/>
    </row>
    <row r="89" customHeight="1" spans="1:108">
      <c r="A89" s="52" t="s">
        <v>143</v>
      </c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  <c r="BQ89" s="51"/>
      <c r="BR89" s="51"/>
      <c r="BS89" s="51"/>
      <c r="BT89" s="51"/>
      <c r="BU89" s="51"/>
      <c r="BV89" s="51"/>
      <c r="BW89" s="51"/>
      <c r="BX89" s="51"/>
      <c r="BY89" s="51"/>
      <c r="BZ89" s="51"/>
      <c r="CA89" s="51"/>
      <c r="CB89" s="51"/>
      <c r="CC89" s="51"/>
      <c r="CD89" s="51"/>
      <c r="CE89" s="51"/>
      <c r="CF89" s="51"/>
      <c r="CG89" s="51"/>
      <c r="CH89" s="51"/>
      <c r="CI89" s="51"/>
      <c r="CJ89" s="51"/>
      <c r="CK89" s="51"/>
      <c r="CL89" s="51"/>
      <c r="CM89" s="51"/>
      <c r="CN89" s="51"/>
      <c r="CO89" s="51"/>
      <c r="CP89" s="51"/>
      <c r="CQ89" s="51"/>
      <c r="CR89" s="51"/>
      <c r="CS89" s="51"/>
      <c r="CT89" s="42" t="str">
        <f>IFERROR(('基本数据输入&amp;测算结果'!$C$19*7-AVERAGE(B89:Y89,CP89:CS89)*7-'基本数据输入&amp;测算结果'!$C$23*7)/'基本数据输入&amp;测算结果'!$C$21*'基本数据输入&amp;测算结果'!$C$22,"无数据/数据缺失")</f>
        <v>无数据/数据缺失</v>
      </c>
      <c r="CU89" s="42">
        <f>IF(CT89&lt;0,0,IF(CT89="无数据/数据缺失",0%,IF(CT89&gt;'基本数据输入&amp;测算结果'!$C$20,100%,CT89/'基本数据输入&amp;测算结果'!$C$20)))</f>
        <v>0</v>
      </c>
      <c r="CV89" s="42" t="str">
        <f>IFERROR((AVERAGE(Z89:AG89)*2-'基本数据输入&amp;测算结果'!$C$24*2)/'基本数据输入&amp;测算结果'!$C$21/'基本数据输入&amp;测算结果'!$C$22,"无数据/数据缺失")</f>
        <v>无数据/数据缺失</v>
      </c>
      <c r="CW89" s="42">
        <f>IF(CV89&lt;0,0,IF(CV89="无数据/数据缺失",0%,IF(CV89&gt;'基本数据输入&amp;测算结果'!$C$20*CU89,CU89,CV89/'基本数据输入&amp;测算结果'!$C$20*CU89)))</f>
        <v>0</v>
      </c>
      <c r="CX89" s="42" t="str">
        <f>IFERROR(('基本数据输入&amp;测算结果'!$C$19*3-AVERAGE(AT89:BE89)*3-'基本数据输入&amp;测算结果'!$C$23*3)/'基本数据输入&amp;测算结果'!$C$21*'基本数据输入&amp;测算结果'!$C$22,"无数据/数据缺失")</f>
        <v>无数据/数据缺失</v>
      </c>
      <c r="CY89" s="42">
        <f>IF(CX89&lt;0,0,IF(CX89="无数据/数据缺失",0%,IF(CX89&gt;'基本数据输入&amp;测算结果'!$C$20,100%,CX89/'基本数据输入&amp;测算结果'!$C$20)))</f>
        <v>0</v>
      </c>
      <c r="CZ89" s="42" t="str">
        <f>IFERROR((AVERAGE(BN89:CK89)*6-'基本数据输入&amp;测算结果'!$C$24*6)/'基本数据输入&amp;测算结果'!$C$21/'基本数据输入&amp;测算结果'!$C$22,"无数据/数据缺失")</f>
        <v>无数据/数据缺失</v>
      </c>
      <c r="DA89" s="42">
        <f>IF(CZ89&lt;0,0,IF(CZ89="无数据/数据缺失",0,IF('基本数据输入&amp;测算结果'!$C$20*CY89&gt;CZ89,CZ89/'基本数据输入&amp;测算结果'!$C$20*CY89,CY89)))</f>
        <v>0</v>
      </c>
      <c r="DB89" s="49">
        <f t="shared" si="6"/>
        <v>0</v>
      </c>
      <c r="DC89" s="50"/>
      <c r="DD89" s="50"/>
    </row>
    <row r="90" customHeight="1" spans="1:108">
      <c r="A90" s="52" t="s">
        <v>144</v>
      </c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  <c r="BN90" s="51"/>
      <c r="BO90" s="51"/>
      <c r="BP90" s="51"/>
      <c r="BQ90" s="51"/>
      <c r="BR90" s="51"/>
      <c r="BS90" s="51"/>
      <c r="BT90" s="51"/>
      <c r="BU90" s="51"/>
      <c r="BV90" s="51"/>
      <c r="BW90" s="51"/>
      <c r="BX90" s="51"/>
      <c r="BY90" s="51"/>
      <c r="BZ90" s="51"/>
      <c r="CA90" s="51"/>
      <c r="CB90" s="51"/>
      <c r="CC90" s="51"/>
      <c r="CD90" s="51"/>
      <c r="CE90" s="51"/>
      <c r="CF90" s="51"/>
      <c r="CG90" s="51"/>
      <c r="CH90" s="51"/>
      <c r="CI90" s="51"/>
      <c r="CJ90" s="51"/>
      <c r="CK90" s="51"/>
      <c r="CL90" s="51"/>
      <c r="CM90" s="51"/>
      <c r="CN90" s="51"/>
      <c r="CO90" s="51"/>
      <c r="CP90" s="51"/>
      <c r="CQ90" s="51"/>
      <c r="CR90" s="51"/>
      <c r="CS90" s="51"/>
      <c r="CT90" s="42" t="str">
        <f>IFERROR(('基本数据输入&amp;测算结果'!$C$19*7-AVERAGE(B90:Y90,CP90:CS90)*7-'基本数据输入&amp;测算结果'!$C$23*7)/'基本数据输入&amp;测算结果'!$C$21*'基本数据输入&amp;测算结果'!$C$22,"无数据/数据缺失")</f>
        <v>无数据/数据缺失</v>
      </c>
      <c r="CU90" s="42">
        <f>IF(CT90&lt;0,0,IF(CT90="无数据/数据缺失",0%,IF(CT90&gt;'基本数据输入&amp;测算结果'!$C$20,100%,CT90/'基本数据输入&amp;测算结果'!$C$20)))</f>
        <v>0</v>
      </c>
      <c r="CV90" s="42" t="str">
        <f>IFERROR((AVERAGE(Z90:AG90)*2-'基本数据输入&amp;测算结果'!$C$24*2)/'基本数据输入&amp;测算结果'!$C$21/'基本数据输入&amp;测算结果'!$C$22,"无数据/数据缺失")</f>
        <v>无数据/数据缺失</v>
      </c>
      <c r="CW90" s="42">
        <f>IF(CV90&lt;0,0,IF(CV90="无数据/数据缺失",0%,IF(CV90&gt;'基本数据输入&amp;测算结果'!$C$20*CU90,CU90,CV90/'基本数据输入&amp;测算结果'!$C$20*CU90)))</f>
        <v>0</v>
      </c>
      <c r="CX90" s="42" t="str">
        <f>IFERROR(('基本数据输入&amp;测算结果'!$C$19*3-AVERAGE(AT90:BE90)*3-'基本数据输入&amp;测算结果'!$C$23*3)/'基本数据输入&amp;测算结果'!$C$21*'基本数据输入&amp;测算结果'!$C$22,"无数据/数据缺失")</f>
        <v>无数据/数据缺失</v>
      </c>
      <c r="CY90" s="42">
        <f>IF(CX90&lt;0,0,IF(CX90="无数据/数据缺失",0%,IF(CX90&gt;'基本数据输入&amp;测算结果'!$C$20,100%,CX90/'基本数据输入&amp;测算结果'!$C$20)))</f>
        <v>0</v>
      </c>
      <c r="CZ90" s="42" t="str">
        <f>IFERROR((AVERAGE(BN90:CK90)*6-'基本数据输入&amp;测算结果'!$C$24*6)/'基本数据输入&amp;测算结果'!$C$21/'基本数据输入&amp;测算结果'!$C$22,"无数据/数据缺失")</f>
        <v>无数据/数据缺失</v>
      </c>
      <c r="DA90" s="42">
        <f>IF(CZ90&lt;0,0,IF(CZ90="无数据/数据缺失",0,IF('基本数据输入&amp;测算结果'!$C$20*CY90&gt;CZ90,CZ90/'基本数据输入&amp;测算结果'!$C$20*CY90,CY90)))</f>
        <v>0</v>
      </c>
      <c r="DB90" s="49">
        <f t="shared" ref="DB90:DB118" si="7">MIN(CU90,CW90)+MIN(CY90,DA90)</f>
        <v>0</v>
      </c>
      <c r="DC90" s="50"/>
      <c r="DD90" s="50"/>
    </row>
    <row r="91" s="42" customFormat="1" customHeight="1" spans="1:108">
      <c r="A91" s="52" t="s">
        <v>145</v>
      </c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  <c r="BN91" s="51"/>
      <c r="BO91" s="51"/>
      <c r="BP91" s="51"/>
      <c r="BQ91" s="51"/>
      <c r="BR91" s="51"/>
      <c r="BS91" s="51"/>
      <c r="BT91" s="51"/>
      <c r="BU91" s="51"/>
      <c r="BV91" s="51"/>
      <c r="BW91" s="51"/>
      <c r="BX91" s="51"/>
      <c r="BY91" s="51"/>
      <c r="BZ91" s="51"/>
      <c r="CA91" s="51"/>
      <c r="CB91" s="51"/>
      <c r="CC91" s="51"/>
      <c r="CD91" s="51"/>
      <c r="CE91" s="51"/>
      <c r="CF91" s="51"/>
      <c r="CG91" s="51"/>
      <c r="CH91" s="51"/>
      <c r="CI91" s="51"/>
      <c r="CJ91" s="51"/>
      <c r="CK91" s="51"/>
      <c r="CL91" s="51"/>
      <c r="CM91" s="51"/>
      <c r="CN91" s="51"/>
      <c r="CO91" s="51"/>
      <c r="CP91" s="51"/>
      <c r="CQ91" s="51"/>
      <c r="CR91" s="51"/>
      <c r="CS91" s="51"/>
      <c r="CT91" s="42" t="str">
        <f>IFERROR(('基本数据输入&amp;测算结果'!$C$19*7-AVERAGE(B91:Y91,CP91:CS91)*7-'基本数据输入&amp;测算结果'!$C$23*7)/'基本数据输入&amp;测算结果'!$C$21*'基本数据输入&amp;测算结果'!$C$22,"无数据/数据缺失")</f>
        <v>无数据/数据缺失</v>
      </c>
      <c r="CU91" s="42">
        <f>IF(CT91&lt;0,0,IF(CT91="无数据/数据缺失",0%,IF(CT91&gt;'基本数据输入&amp;测算结果'!$C$20,100%,CT91/'基本数据输入&amp;测算结果'!$C$20)))</f>
        <v>0</v>
      </c>
      <c r="CV91" s="42" t="str">
        <f>IFERROR((AVERAGE(Z91:AG91)*2-'基本数据输入&amp;测算结果'!$C$24*2)/'基本数据输入&amp;测算结果'!$C$21/'基本数据输入&amp;测算结果'!$C$22,"无数据/数据缺失")</f>
        <v>无数据/数据缺失</v>
      </c>
      <c r="CW91" s="42">
        <f>IF(CV91&lt;0,0,IF(CV91="无数据/数据缺失",0%,IF(CV91&gt;'基本数据输入&amp;测算结果'!$C$20*CU91,CU91,CV91/'基本数据输入&amp;测算结果'!$C$20*CU91)))</f>
        <v>0</v>
      </c>
      <c r="CX91" s="42" t="str">
        <f>IFERROR(('基本数据输入&amp;测算结果'!$C$19*3-AVERAGE(AT91:BE91)*3-'基本数据输入&amp;测算结果'!$C$23*3)/'基本数据输入&amp;测算结果'!$C$21*'基本数据输入&amp;测算结果'!$C$22,"无数据/数据缺失")</f>
        <v>无数据/数据缺失</v>
      </c>
      <c r="CY91" s="42">
        <f>IF(CX91&lt;0,0,IF(CX91="无数据/数据缺失",0%,IF(CX91&gt;'基本数据输入&amp;测算结果'!$C$20,100%,CX91/'基本数据输入&amp;测算结果'!$C$20)))</f>
        <v>0</v>
      </c>
      <c r="CZ91" s="42" t="str">
        <f>IFERROR((AVERAGE(BN91:CK91)*6-'基本数据输入&amp;测算结果'!$C$24*6)/'基本数据输入&amp;测算结果'!$C$21/'基本数据输入&amp;测算结果'!$C$22,"无数据/数据缺失")</f>
        <v>无数据/数据缺失</v>
      </c>
      <c r="DA91" s="42">
        <f>IF(CZ91&lt;0,0,IF(CZ91="无数据/数据缺失",0,IF('基本数据输入&amp;测算结果'!$C$20*CY91&gt;CZ91,CZ91/'基本数据输入&amp;测算结果'!$C$20*CY91,CY91)))</f>
        <v>0</v>
      </c>
      <c r="DB91" s="49">
        <f t="shared" si="7"/>
        <v>0</v>
      </c>
      <c r="DC91" s="50"/>
      <c r="DD91" s="50"/>
    </row>
    <row r="92" customHeight="1" spans="1:108">
      <c r="A92" s="52" t="s">
        <v>146</v>
      </c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51"/>
      <c r="BX92" s="51"/>
      <c r="BY92" s="51"/>
      <c r="BZ92" s="51"/>
      <c r="CA92" s="51"/>
      <c r="CB92" s="51"/>
      <c r="CC92" s="51"/>
      <c r="CD92" s="51"/>
      <c r="CE92" s="51"/>
      <c r="CF92" s="51"/>
      <c r="CG92" s="51"/>
      <c r="CH92" s="51"/>
      <c r="CI92" s="51"/>
      <c r="CJ92" s="51"/>
      <c r="CK92" s="51"/>
      <c r="CL92" s="51"/>
      <c r="CM92" s="51"/>
      <c r="CN92" s="51"/>
      <c r="CO92" s="51"/>
      <c r="CP92" s="51"/>
      <c r="CQ92" s="51"/>
      <c r="CR92" s="51"/>
      <c r="CS92" s="51"/>
      <c r="CT92" s="42" t="str">
        <f>IFERROR(('基本数据输入&amp;测算结果'!$C$19*7-AVERAGE(B92:Y92,CP92:CS92)*7-'基本数据输入&amp;测算结果'!$C$23*7)/'基本数据输入&amp;测算结果'!$C$21*'基本数据输入&amp;测算结果'!$C$22,"无数据/数据缺失")</f>
        <v>无数据/数据缺失</v>
      </c>
      <c r="CU92" s="42">
        <f>IF(CT92&lt;0,0,IF(CT92="无数据/数据缺失",0%,IF(CT92&gt;'基本数据输入&amp;测算结果'!$C$20,100%,CT92/'基本数据输入&amp;测算结果'!$C$20)))</f>
        <v>0</v>
      </c>
      <c r="CV92" s="42" t="str">
        <f>IFERROR((AVERAGE(Z92:AG92)*2-'基本数据输入&amp;测算结果'!$C$24*2)/'基本数据输入&amp;测算结果'!$C$21/'基本数据输入&amp;测算结果'!$C$22,"无数据/数据缺失")</f>
        <v>无数据/数据缺失</v>
      </c>
      <c r="CW92" s="42">
        <f>IF(CV92&lt;0,0,IF(CV92="无数据/数据缺失",0%,IF(CV92&gt;'基本数据输入&amp;测算结果'!$C$20*CU92,CU92,CV92/'基本数据输入&amp;测算结果'!$C$20*CU92)))</f>
        <v>0</v>
      </c>
      <c r="CX92" s="42" t="str">
        <f>IFERROR(('基本数据输入&amp;测算结果'!$C$19*3-AVERAGE(AT92:BE92)*3-'基本数据输入&amp;测算结果'!$C$23*3)/'基本数据输入&amp;测算结果'!$C$21*'基本数据输入&amp;测算结果'!$C$22,"无数据/数据缺失")</f>
        <v>无数据/数据缺失</v>
      </c>
      <c r="CY92" s="42">
        <f>IF(CX92&lt;0,0,IF(CX92="无数据/数据缺失",0%,IF(CX92&gt;'基本数据输入&amp;测算结果'!$C$20,100%,CX92/'基本数据输入&amp;测算结果'!$C$20)))</f>
        <v>0</v>
      </c>
      <c r="CZ92" s="42" t="str">
        <f>IFERROR((AVERAGE(BN92:CK92)*6-'基本数据输入&amp;测算结果'!$C$24*6)/'基本数据输入&amp;测算结果'!$C$21/'基本数据输入&amp;测算结果'!$C$22,"无数据/数据缺失")</f>
        <v>无数据/数据缺失</v>
      </c>
      <c r="DA92" s="42">
        <f>IF(CZ92&lt;0,0,IF(CZ92="无数据/数据缺失",0,IF('基本数据输入&amp;测算结果'!$C$20*CY92&gt;CZ92,CZ92/'基本数据输入&amp;测算结果'!$C$20*CY92,CY92)))</f>
        <v>0</v>
      </c>
      <c r="DB92" s="49">
        <f t="shared" si="7"/>
        <v>0</v>
      </c>
      <c r="DC92" s="50"/>
      <c r="DD92" s="50"/>
    </row>
    <row r="93" customHeight="1" spans="1:108">
      <c r="A93" s="52" t="s">
        <v>147</v>
      </c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  <c r="BN93" s="51"/>
      <c r="BO93" s="51"/>
      <c r="BP93" s="51"/>
      <c r="BQ93" s="51"/>
      <c r="BR93" s="51"/>
      <c r="BS93" s="51"/>
      <c r="BT93" s="51"/>
      <c r="BU93" s="51"/>
      <c r="BV93" s="51"/>
      <c r="BW93" s="51"/>
      <c r="BX93" s="51"/>
      <c r="BY93" s="51"/>
      <c r="BZ93" s="51"/>
      <c r="CA93" s="51"/>
      <c r="CB93" s="51"/>
      <c r="CC93" s="51"/>
      <c r="CD93" s="51"/>
      <c r="CE93" s="51"/>
      <c r="CF93" s="51"/>
      <c r="CG93" s="51"/>
      <c r="CH93" s="51"/>
      <c r="CI93" s="51"/>
      <c r="CJ93" s="51"/>
      <c r="CK93" s="51"/>
      <c r="CL93" s="51"/>
      <c r="CM93" s="51"/>
      <c r="CN93" s="51"/>
      <c r="CO93" s="51"/>
      <c r="CP93" s="51"/>
      <c r="CQ93" s="51"/>
      <c r="CR93" s="51"/>
      <c r="CS93" s="51"/>
      <c r="CT93" s="42" t="str">
        <f>IFERROR(('基本数据输入&amp;测算结果'!$C$19*7-AVERAGE(B93:Y93,CP93:CS93)*7-'基本数据输入&amp;测算结果'!$C$23*7)/'基本数据输入&amp;测算结果'!$C$21*'基本数据输入&amp;测算结果'!$C$22,"无数据/数据缺失")</f>
        <v>无数据/数据缺失</v>
      </c>
      <c r="CU93" s="42">
        <f>IF(CT93&lt;0,0,IF(CT93="无数据/数据缺失",0%,IF(CT93&gt;'基本数据输入&amp;测算结果'!$C$20,100%,CT93/'基本数据输入&amp;测算结果'!$C$20)))</f>
        <v>0</v>
      </c>
      <c r="CV93" s="42" t="str">
        <f>IFERROR((AVERAGE(Z93:AG93)*2-'基本数据输入&amp;测算结果'!$C$24*2)/'基本数据输入&amp;测算结果'!$C$21/'基本数据输入&amp;测算结果'!$C$22,"无数据/数据缺失")</f>
        <v>无数据/数据缺失</v>
      </c>
      <c r="CW93" s="42">
        <f>IF(CV93&lt;0,0,IF(CV93="无数据/数据缺失",0%,IF(CV93&gt;'基本数据输入&amp;测算结果'!$C$20*CU93,CU93,CV93/'基本数据输入&amp;测算结果'!$C$20*CU93)))</f>
        <v>0</v>
      </c>
      <c r="CX93" s="42" t="str">
        <f>IFERROR(('基本数据输入&amp;测算结果'!$C$19*3-AVERAGE(AT93:BE93)*3-'基本数据输入&amp;测算结果'!$C$23*3)/'基本数据输入&amp;测算结果'!$C$21*'基本数据输入&amp;测算结果'!$C$22,"无数据/数据缺失")</f>
        <v>无数据/数据缺失</v>
      </c>
      <c r="CY93" s="42">
        <f>IF(CX93&lt;0,0,IF(CX93="无数据/数据缺失",0%,IF(CX93&gt;'基本数据输入&amp;测算结果'!$C$20,100%,CX93/'基本数据输入&amp;测算结果'!$C$20)))</f>
        <v>0</v>
      </c>
      <c r="CZ93" s="42" t="str">
        <f>IFERROR((AVERAGE(BN93:CK93)*6-'基本数据输入&amp;测算结果'!$C$24*6)/'基本数据输入&amp;测算结果'!$C$21/'基本数据输入&amp;测算结果'!$C$22,"无数据/数据缺失")</f>
        <v>无数据/数据缺失</v>
      </c>
      <c r="DA93" s="42">
        <f>IF(CZ93&lt;0,0,IF(CZ93="无数据/数据缺失",0,IF('基本数据输入&amp;测算结果'!$C$20*CY93&gt;CZ93,CZ93/'基本数据输入&amp;测算结果'!$C$20*CY93,CY93)))</f>
        <v>0</v>
      </c>
      <c r="DB93" s="49">
        <f t="shared" si="7"/>
        <v>0</v>
      </c>
      <c r="DC93" s="50"/>
      <c r="DD93" s="50"/>
    </row>
    <row r="94" customHeight="1" spans="1:108">
      <c r="A94" s="52" t="s">
        <v>148</v>
      </c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  <c r="BN94" s="51"/>
      <c r="BO94" s="51"/>
      <c r="BP94" s="51"/>
      <c r="BQ94" s="51"/>
      <c r="BR94" s="51"/>
      <c r="BS94" s="51"/>
      <c r="BT94" s="51"/>
      <c r="BU94" s="51"/>
      <c r="BV94" s="51"/>
      <c r="BW94" s="51"/>
      <c r="BX94" s="51"/>
      <c r="BY94" s="51"/>
      <c r="BZ94" s="51"/>
      <c r="CA94" s="51"/>
      <c r="CB94" s="51"/>
      <c r="CC94" s="51"/>
      <c r="CD94" s="51"/>
      <c r="CE94" s="51"/>
      <c r="CF94" s="51"/>
      <c r="CG94" s="51"/>
      <c r="CH94" s="51"/>
      <c r="CI94" s="51"/>
      <c r="CJ94" s="51"/>
      <c r="CK94" s="51"/>
      <c r="CL94" s="51"/>
      <c r="CM94" s="51"/>
      <c r="CN94" s="51"/>
      <c r="CO94" s="51"/>
      <c r="CP94" s="51"/>
      <c r="CQ94" s="51"/>
      <c r="CR94" s="51"/>
      <c r="CS94" s="51"/>
      <c r="CT94" s="42" t="str">
        <f>IFERROR(('基本数据输入&amp;测算结果'!$C$19*7-AVERAGE(B94:Y94,CP94:CS94)*7-'基本数据输入&amp;测算结果'!$C$23*7)/'基本数据输入&amp;测算结果'!$C$21*'基本数据输入&amp;测算结果'!$C$22,"无数据/数据缺失")</f>
        <v>无数据/数据缺失</v>
      </c>
      <c r="CU94" s="42">
        <f>IF(CT94&lt;0,0,IF(CT94="无数据/数据缺失",0%,IF(CT94&gt;'基本数据输入&amp;测算结果'!$C$20,100%,CT94/'基本数据输入&amp;测算结果'!$C$20)))</f>
        <v>0</v>
      </c>
      <c r="CV94" s="42" t="str">
        <f>IFERROR((AVERAGE(Z94:AG94)*2-'基本数据输入&amp;测算结果'!$C$24*2)/'基本数据输入&amp;测算结果'!$C$21/'基本数据输入&amp;测算结果'!$C$22,"无数据/数据缺失")</f>
        <v>无数据/数据缺失</v>
      </c>
      <c r="CW94" s="42">
        <f>IF(CV94&lt;0,0,IF(CV94="无数据/数据缺失",0%,IF(CV94&gt;'基本数据输入&amp;测算结果'!$C$20*CU94,CU94,CV94/'基本数据输入&amp;测算结果'!$C$20*CU94)))</f>
        <v>0</v>
      </c>
      <c r="CX94" s="42" t="str">
        <f>IFERROR(('基本数据输入&amp;测算结果'!$C$19*3-AVERAGE(AT94:BE94)*3-'基本数据输入&amp;测算结果'!$C$23*3)/'基本数据输入&amp;测算结果'!$C$21*'基本数据输入&amp;测算结果'!$C$22,"无数据/数据缺失")</f>
        <v>无数据/数据缺失</v>
      </c>
      <c r="CY94" s="42">
        <f>IF(CX94&lt;0,0,IF(CX94="无数据/数据缺失",0%,IF(CX94&gt;'基本数据输入&amp;测算结果'!$C$20,100%,CX94/'基本数据输入&amp;测算结果'!$C$20)))</f>
        <v>0</v>
      </c>
      <c r="CZ94" s="42" t="str">
        <f>IFERROR((AVERAGE(BN94:CK94)*6-'基本数据输入&amp;测算结果'!$C$24*6)/'基本数据输入&amp;测算结果'!$C$21/'基本数据输入&amp;测算结果'!$C$22,"无数据/数据缺失")</f>
        <v>无数据/数据缺失</v>
      </c>
      <c r="DA94" s="42">
        <f>IF(CZ94&lt;0,0,IF(CZ94="无数据/数据缺失",0,IF('基本数据输入&amp;测算结果'!$C$20*CY94&gt;CZ94,CZ94/'基本数据输入&amp;测算结果'!$C$20*CY94,CY94)))</f>
        <v>0</v>
      </c>
      <c r="DB94" s="49">
        <f t="shared" si="7"/>
        <v>0</v>
      </c>
      <c r="DC94" s="50"/>
      <c r="DD94" s="50"/>
    </row>
    <row r="95" customHeight="1" spans="1:108">
      <c r="A95" s="52" t="s">
        <v>149</v>
      </c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  <c r="BN95" s="51"/>
      <c r="BO95" s="51"/>
      <c r="BP95" s="51"/>
      <c r="BQ95" s="51"/>
      <c r="BR95" s="51"/>
      <c r="BS95" s="51"/>
      <c r="BT95" s="51"/>
      <c r="BU95" s="51"/>
      <c r="BV95" s="51"/>
      <c r="BW95" s="51"/>
      <c r="BX95" s="51"/>
      <c r="BY95" s="51"/>
      <c r="BZ95" s="51"/>
      <c r="CA95" s="51"/>
      <c r="CB95" s="51"/>
      <c r="CC95" s="51"/>
      <c r="CD95" s="51"/>
      <c r="CE95" s="51"/>
      <c r="CF95" s="51"/>
      <c r="CG95" s="51"/>
      <c r="CH95" s="51"/>
      <c r="CI95" s="51"/>
      <c r="CJ95" s="51"/>
      <c r="CK95" s="51"/>
      <c r="CL95" s="51"/>
      <c r="CM95" s="51"/>
      <c r="CN95" s="51"/>
      <c r="CO95" s="51"/>
      <c r="CP95" s="51"/>
      <c r="CQ95" s="51"/>
      <c r="CR95" s="51"/>
      <c r="CS95" s="51"/>
      <c r="CT95" s="42" t="str">
        <f>IFERROR(('基本数据输入&amp;测算结果'!$C$19*7-AVERAGE(B95:Y95,CP95:CS95)*7-'基本数据输入&amp;测算结果'!$C$23*7)/'基本数据输入&amp;测算结果'!$C$21*'基本数据输入&amp;测算结果'!$C$22,"无数据/数据缺失")</f>
        <v>无数据/数据缺失</v>
      </c>
      <c r="CU95" s="42">
        <f>IF(CT95&lt;0,0,IF(CT95="无数据/数据缺失",0%,IF(CT95&gt;'基本数据输入&amp;测算结果'!$C$20,100%,CT95/'基本数据输入&amp;测算结果'!$C$20)))</f>
        <v>0</v>
      </c>
      <c r="CV95" s="42" t="str">
        <f>IFERROR((AVERAGE(Z95:AG95)*2-'基本数据输入&amp;测算结果'!$C$24*2)/'基本数据输入&amp;测算结果'!$C$21/'基本数据输入&amp;测算结果'!$C$22,"无数据/数据缺失")</f>
        <v>无数据/数据缺失</v>
      </c>
      <c r="CW95" s="42">
        <f>IF(CV95&lt;0,0,IF(CV95="无数据/数据缺失",0%,IF(CV95&gt;'基本数据输入&amp;测算结果'!$C$20*CU95,CU95,CV95/'基本数据输入&amp;测算结果'!$C$20*CU95)))</f>
        <v>0</v>
      </c>
      <c r="CX95" s="42" t="str">
        <f>IFERROR(('基本数据输入&amp;测算结果'!$C$19*3-AVERAGE(AT95:BE95)*3-'基本数据输入&amp;测算结果'!$C$23*3)/'基本数据输入&amp;测算结果'!$C$21*'基本数据输入&amp;测算结果'!$C$22,"无数据/数据缺失")</f>
        <v>无数据/数据缺失</v>
      </c>
      <c r="CY95" s="42">
        <f>IF(CX95&lt;0,0,IF(CX95="无数据/数据缺失",0%,IF(CX95&gt;'基本数据输入&amp;测算结果'!$C$20,100%,CX95/'基本数据输入&amp;测算结果'!$C$20)))</f>
        <v>0</v>
      </c>
      <c r="CZ95" s="42" t="str">
        <f>IFERROR((AVERAGE(BN95:CK95)*6-'基本数据输入&amp;测算结果'!$C$24*6)/'基本数据输入&amp;测算结果'!$C$21/'基本数据输入&amp;测算结果'!$C$22,"无数据/数据缺失")</f>
        <v>无数据/数据缺失</v>
      </c>
      <c r="DA95" s="42">
        <f>IF(CZ95&lt;0,0,IF(CZ95="无数据/数据缺失",0,IF('基本数据输入&amp;测算结果'!$C$20*CY95&gt;CZ95,CZ95/'基本数据输入&amp;测算结果'!$C$20*CY95,CY95)))</f>
        <v>0</v>
      </c>
      <c r="DB95" s="49">
        <f t="shared" si="7"/>
        <v>0</v>
      </c>
      <c r="DC95" s="50"/>
      <c r="DD95" s="50"/>
    </row>
    <row r="96" customHeight="1" spans="1:108">
      <c r="A96" s="52" t="s">
        <v>150</v>
      </c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  <c r="BN96" s="51"/>
      <c r="BO96" s="51"/>
      <c r="BP96" s="51"/>
      <c r="BQ96" s="51"/>
      <c r="BR96" s="51"/>
      <c r="BS96" s="51"/>
      <c r="BT96" s="51"/>
      <c r="BU96" s="51"/>
      <c r="BV96" s="51"/>
      <c r="BW96" s="51"/>
      <c r="BX96" s="51"/>
      <c r="BY96" s="51"/>
      <c r="BZ96" s="51"/>
      <c r="CA96" s="51"/>
      <c r="CB96" s="51"/>
      <c r="CC96" s="51"/>
      <c r="CD96" s="51"/>
      <c r="CE96" s="51"/>
      <c r="CF96" s="51"/>
      <c r="CG96" s="51"/>
      <c r="CH96" s="51"/>
      <c r="CI96" s="51"/>
      <c r="CJ96" s="51"/>
      <c r="CK96" s="51"/>
      <c r="CL96" s="51"/>
      <c r="CM96" s="51"/>
      <c r="CN96" s="51"/>
      <c r="CO96" s="51"/>
      <c r="CP96" s="51"/>
      <c r="CQ96" s="51"/>
      <c r="CR96" s="51"/>
      <c r="CS96" s="51"/>
      <c r="CT96" s="42" t="str">
        <f>IFERROR(('基本数据输入&amp;测算结果'!$C$19*7-AVERAGE(B96:Y96,CP96:CS96)*7-'基本数据输入&amp;测算结果'!$C$23*7)/'基本数据输入&amp;测算结果'!$C$21*'基本数据输入&amp;测算结果'!$C$22,"无数据/数据缺失")</f>
        <v>无数据/数据缺失</v>
      </c>
      <c r="CU96" s="42">
        <f>IF(CT96&lt;0,0,IF(CT96="无数据/数据缺失",0%,IF(CT96&gt;'基本数据输入&amp;测算结果'!$C$20,100%,CT96/'基本数据输入&amp;测算结果'!$C$20)))</f>
        <v>0</v>
      </c>
      <c r="CV96" s="42" t="str">
        <f>IFERROR((AVERAGE(Z96:AG96)*2-'基本数据输入&amp;测算结果'!$C$24*2)/'基本数据输入&amp;测算结果'!$C$21/'基本数据输入&amp;测算结果'!$C$22,"无数据/数据缺失")</f>
        <v>无数据/数据缺失</v>
      </c>
      <c r="CW96" s="42">
        <f>IF(CV96&lt;0,0,IF(CV96="无数据/数据缺失",0%,IF(CV96&gt;'基本数据输入&amp;测算结果'!$C$20*CU96,CU96,CV96/'基本数据输入&amp;测算结果'!$C$20*CU96)))</f>
        <v>0</v>
      </c>
      <c r="CX96" s="42" t="str">
        <f>IFERROR(('基本数据输入&amp;测算结果'!$C$19*3-AVERAGE(AT96:BE96)*3-'基本数据输入&amp;测算结果'!$C$23*3)/'基本数据输入&amp;测算结果'!$C$21*'基本数据输入&amp;测算结果'!$C$22,"无数据/数据缺失")</f>
        <v>无数据/数据缺失</v>
      </c>
      <c r="CY96" s="42">
        <f>IF(CX96&lt;0,0,IF(CX96="无数据/数据缺失",0%,IF(CX96&gt;'基本数据输入&amp;测算结果'!$C$20,100%,CX96/'基本数据输入&amp;测算结果'!$C$20)))</f>
        <v>0</v>
      </c>
      <c r="CZ96" s="42" t="str">
        <f>IFERROR((AVERAGE(BN96:CK96)*6-'基本数据输入&amp;测算结果'!$C$24*6)/'基本数据输入&amp;测算结果'!$C$21/'基本数据输入&amp;测算结果'!$C$22,"无数据/数据缺失")</f>
        <v>无数据/数据缺失</v>
      </c>
      <c r="DA96" s="42">
        <f>IF(CZ96&lt;0,0,IF(CZ96="无数据/数据缺失",0,IF('基本数据输入&amp;测算结果'!$C$20*CY96&gt;CZ96,CZ96/'基本数据输入&amp;测算结果'!$C$20*CY96,CY96)))</f>
        <v>0</v>
      </c>
      <c r="DB96" s="49">
        <f t="shared" si="7"/>
        <v>0</v>
      </c>
      <c r="DC96" s="50"/>
      <c r="DD96" s="50"/>
    </row>
    <row r="97" customHeight="1" spans="1:108">
      <c r="A97" s="52" t="s">
        <v>151</v>
      </c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1"/>
      <c r="CA97" s="51"/>
      <c r="CB97" s="51"/>
      <c r="CC97" s="51"/>
      <c r="CD97" s="51"/>
      <c r="CE97" s="51"/>
      <c r="CF97" s="51"/>
      <c r="CG97" s="51"/>
      <c r="CH97" s="51"/>
      <c r="CI97" s="51"/>
      <c r="CJ97" s="51"/>
      <c r="CK97" s="51"/>
      <c r="CL97" s="51"/>
      <c r="CM97" s="51"/>
      <c r="CN97" s="51"/>
      <c r="CO97" s="51"/>
      <c r="CP97" s="51"/>
      <c r="CQ97" s="51"/>
      <c r="CR97" s="51"/>
      <c r="CS97" s="51"/>
      <c r="CT97" s="42" t="str">
        <f>IFERROR(('基本数据输入&amp;测算结果'!$C$19*7-AVERAGE(B97:Y97,CP97:CS97)*7-'基本数据输入&amp;测算结果'!$C$23*7)/'基本数据输入&amp;测算结果'!$C$21*'基本数据输入&amp;测算结果'!$C$22,"无数据/数据缺失")</f>
        <v>无数据/数据缺失</v>
      </c>
      <c r="CU97" s="42">
        <f>IF(CT97&lt;0,0,IF(CT97="无数据/数据缺失",0%,IF(CT97&gt;'基本数据输入&amp;测算结果'!$C$20,100%,CT97/'基本数据输入&amp;测算结果'!$C$20)))</f>
        <v>0</v>
      </c>
      <c r="CV97" s="42" t="str">
        <f>IFERROR((AVERAGE(Z97:AG97)*2-'基本数据输入&amp;测算结果'!$C$24*2)/'基本数据输入&amp;测算结果'!$C$21/'基本数据输入&amp;测算结果'!$C$22,"无数据/数据缺失")</f>
        <v>无数据/数据缺失</v>
      </c>
      <c r="CW97" s="42">
        <f>IF(CV97&lt;0,0,IF(CV97="无数据/数据缺失",0%,IF(CV97&gt;'基本数据输入&amp;测算结果'!$C$20*CU97,CU97,CV97/'基本数据输入&amp;测算结果'!$C$20*CU97)))</f>
        <v>0</v>
      </c>
      <c r="CX97" s="42" t="str">
        <f>IFERROR(('基本数据输入&amp;测算结果'!$C$19*3-AVERAGE(AT97:BE97)*3-'基本数据输入&amp;测算结果'!$C$23*3)/'基本数据输入&amp;测算结果'!$C$21*'基本数据输入&amp;测算结果'!$C$22,"无数据/数据缺失")</f>
        <v>无数据/数据缺失</v>
      </c>
      <c r="CY97" s="42">
        <f>IF(CX97&lt;0,0,IF(CX97="无数据/数据缺失",0%,IF(CX97&gt;'基本数据输入&amp;测算结果'!$C$20,100%,CX97/'基本数据输入&amp;测算结果'!$C$20)))</f>
        <v>0</v>
      </c>
      <c r="CZ97" s="42" t="str">
        <f>IFERROR((AVERAGE(BN97:CK97)*6-'基本数据输入&amp;测算结果'!$C$24*6)/'基本数据输入&amp;测算结果'!$C$21/'基本数据输入&amp;测算结果'!$C$22,"无数据/数据缺失")</f>
        <v>无数据/数据缺失</v>
      </c>
      <c r="DA97" s="42">
        <f>IF(CZ97&lt;0,0,IF(CZ97="无数据/数据缺失",0,IF('基本数据输入&amp;测算结果'!$C$20*CY97&gt;CZ97,CZ97/'基本数据输入&amp;测算结果'!$C$20*CY97,CY97)))</f>
        <v>0</v>
      </c>
      <c r="DB97" s="49">
        <f t="shared" si="7"/>
        <v>0</v>
      </c>
      <c r="DC97" s="50"/>
      <c r="DD97" s="50"/>
    </row>
    <row r="98" customHeight="1" spans="1:108">
      <c r="A98" s="52" t="s">
        <v>152</v>
      </c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  <c r="BN98" s="51"/>
      <c r="BO98" s="51"/>
      <c r="BP98" s="51"/>
      <c r="BQ98" s="51"/>
      <c r="BR98" s="51"/>
      <c r="BS98" s="51"/>
      <c r="BT98" s="51"/>
      <c r="BU98" s="51"/>
      <c r="BV98" s="51"/>
      <c r="BW98" s="51"/>
      <c r="BX98" s="51"/>
      <c r="BY98" s="51"/>
      <c r="BZ98" s="51"/>
      <c r="CA98" s="51"/>
      <c r="CB98" s="51"/>
      <c r="CC98" s="51"/>
      <c r="CD98" s="51"/>
      <c r="CE98" s="51"/>
      <c r="CF98" s="51"/>
      <c r="CG98" s="51"/>
      <c r="CH98" s="51"/>
      <c r="CI98" s="51"/>
      <c r="CJ98" s="51"/>
      <c r="CK98" s="51"/>
      <c r="CL98" s="51"/>
      <c r="CM98" s="51"/>
      <c r="CN98" s="51"/>
      <c r="CO98" s="51"/>
      <c r="CP98" s="51"/>
      <c r="CQ98" s="51"/>
      <c r="CR98" s="51"/>
      <c r="CS98" s="51"/>
      <c r="CT98" s="42" t="str">
        <f>IFERROR(('基本数据输入&amp;测算结果'!$C$19*7-AVERAGE(B98:Y98,CP98:CS98)*7-'基本数据输入&amp;测算结果'!$C$23*7)/'基本数据输入&amp;测算结果'!$C$21*'基本数据输入&amp;测算结果'!$C$22,"无数据/数据缺失")</f>
        <v>无数据/数据缺失</v>
      </c>
      <c r="CU98" s="42">
        <f>IF(CT98&lt;0,0,IF(CT98="无数据/数据缺失",0%,IF(CT98&gt;'基本数据输入&amp;测算结果'!$C$20,100%,CT98/'基本数据输入&amp;测算结果'!$C$20)))</f>
        <v>0</v>
      </c>
      <c r="CV98" s="42" t="str">
        <f>IFERROR((AVERAGE(Z98:AG98)*2-'基本数据输入&amp;测算结果'!$C$24*2)/'基本数据输入&amp;测算结果'!$C$21/'基本数据输入&amp;测算结果'!$C$22,"无数据/数据缺失")</f>
        <v>无数据/数据缺失</v>
      </c>
      <c r="CW98" s="42">
        <f>IF(CV98&lt;0,0,IF(CV98="无数据/数据缺失",0%,IF(CV98&gt;'基本数据输入&amp;测算结果'!$C$20*CU98,CU98,CV98/'基本数据输入&amp;测算结果'!$C$20*CU98)))</f>
        <v>0</v>
      </c>
      <c r="CX98" s="42" t="str">
        <f>IFERROR(('基本数据输入&amp;测算结果'!$C$19*3-AVERAGE(AT98:BE98)*3-'基本数据输入&amp;测算结果'!$C$23*3)/'基本数据输入&amp;测算结果'!$C$21*'基本数据输入&amp;测算结果'!$C$22,"无数据/数据缺失")</f>
        <v>无数据/数据缺失</v>
      </c>
      <c r="CY98" s="42">
        <f>IF(CX98&lt;0,0,IF(CX98="无数据/数据缺失",0%,IF(CX98&gt;'基本数据输入&amp;测算结果'!$C$20,100%,CX98/'基本数据输入&amp;测算结果'!$C$20)))</f>
        <v>0</v>
      </c>
      <c r="CZ98" s="42" t="str">
        <f>IFERROR((AVERAGE(BN98:CK98)*6-'基本数据输入&amp;测算结果'!$C$24*6)/'基本数据输入&amp;测算结果'!$C$21/'基本数据输入&amp;测算结果'!$C$22,"无数据/数据缺失")</f>
        <v>无数据/数据缺失</v>
      </c>
      <c r="DA98" s="42">
        <f>IF(CZ98&lt;0,0,IF(CZ98="无数据/数据缺失",0,IF('基本数据输入&amp;测算结果'!$C$20*CY98&gt;CZ98,CZ98/'基本数据输入&amp;测算结果'!$C$20*CY98,CY98)))</f>
        <v>0</v>
      </c>
      <c r="DB98" s="49">
        <f t="shared" si="7"/>
        <v>0</v>
      </c>
      <c r="DC98" s="50"/>
      <c r="DD98" s="50"/>
    </row>
    <row r="99" customHeight="1" spans="1:108">
      <c r="A99" s="52" t="s">
        <v>153</v>
      </c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  <c r="BN99" s="51"/>
      <c r="BO99" s="51"/>
      <c r="BP99" s="51"/>
      <c r="BQ99" s="51"/>
      <c r="BR99" s="51"/>
      <c r="BS99" s="51"/>
      <c r="BT99" s="51"/>
      <c r="BU99" s="51"/>
      <c r="BV99" s="51"/>
      <c r="BW99" s="51"/>
      <c r="BX99" s="51"/>
      <c r="BY99" s="51"/>
      <c r="BZ99" s="51"/>
      <c r="CA99" s="51"/>
      <c r="CB99" s="51"/>
      <c r="CC99" s="51"/>
      <c r="CD99" s="51"/>
      <c r="CE99" s="51"/>
      <c r="CF99" s="51"/>
      <c r="CG99" s="51"/>
      <c r="CH99" s="51"/>
      <c r="CI99" s="51"/>
      <c r="CJ99" s="51"/>
      <c r="CK99" s="51"/>
      <c r="CL99" s="51"/>
      <c r="CM99" s="51"/>
      <c r="CN99" s="51"/>
      <c r="CO99" s="51"/>
      <c r="CP99" s="51"/>
      <c r="CQ99" s="51"/>
      <c r="CR99" s="51"/>
      <c r="CS99" s="51"/>
      <c r="CT99" s="42" t="str">
        <f>IFERROR(('基本数据输入&amp;测算结果'!$C$19*7-AVERAGE(B99:Y99,CP99:CS99)*7-'基本数据输入&amp;测算结果'!$C$23*7)/'基本数据输入&amp;测算结果'!$C$21*'基本数据输入&amp;测算结果'!$C$22,"无数据/数据缺失")</f>
        <v>无数据/数据缺失</v>
      </c>
      <c r="CU99" s="42">
        <f>IF(CT99&lt;0,0,IF(CT99="无数据/数据缺失",0%,IF(CT99&gt;'基本数据输入&amp;测算结果'!$C$20,100%,CT99/'基本数据输入&amp;测算结果'!$C$20)))</f>
        <v>0</v>
      </c>
      <c r="CV99" s="42" t="str">
        <f>IFERROR((AVERAGE(Z99:AG99)*2-'基本数据输入&amp;测算结果'!$C$24*2)/'基本数据输入&amp;测算结果'!$C$21/'基本数据输入&amp;测算结果'!$C$22,"无数据/数据缺失")</f>
        <v>无数据/数据缺失</v>
      </c>
      <c r="CW99" s="42">
        <f>IF(CV99&lt;0,0,IF(CV99="无数据/数据缺失",0%,IF(CV99&gt;'基本数据输入&amp;测算结果'!$C$20*CU99,CU99,CV99/'基本数据输入&amp;测算结果'!$C$20*CU99)))</f>
        <v>0</v>
      </c>
      <c r="CX99" s="42" t="str">
        <f>IFERROR(('基本数据输入&amp;测算结果'!$C$19*3-AVERAGE(AT99:BE99)*3-'基本数据输入&amp;测算结果'!$C$23*3)/'基本数据输入&amp;测算结果'!$C$21*'基本数据输入&amp;测算结果'!$C$22,"无数据/数据缺失")</f>
        <v>无数据/数据缺失</v>
      </c>
      <c r="CY99" s="42">
        <f>IF(CX99&lt;0,0,IF(CX99="无数据/数据缺失",0%,IF(CX99&gt;'基本数据输入&amp;测算结果'!$C$20,100%,CX99/'基本数据输入&amp;测算结果'!$C$20)))</f>
        <v>0</v>
      </c>
      <c r="CZ99" s="42" t="str">
        <f>IFERROR((AVERAGE(BN99:CK99)*6-'基本数据输入&amp;测算结果'!$C$24*6)/'基本数据输入&amp;测算结果'!$C$21/'基本数据输入&amp;测算结果'!$C$22,"无数据/数据缺失")</f>
        <v>无数据/数据缺失</v>
      </c>
      <c r="DA99" s="42">
        <f>IF(CZ99&lt;0,0,IF(CZ99="无数据/数据缺失",0,IF('基本数据输入&amp;测算结果'!$C$20*CY99&gt;CZ99,CZ99/'基本数据输入&amp;测算结果'!$C$20*CY99,CY99)))</f>
        <v>0</v>
      </c>
      <c r="DB99" s="49">
        <f t="shared" si="7"/>
        <v>0</v>
      </c>
      <c r="DC99" s="50"/>
      <c r="DD99" s="50"/>
    </row>
    <row r="100" customHeight="1" spans="1:108">
      <c r="A100" s="52" t="s">
        <v>154</v>
      </c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51"/>
      <c r="BC100" s="51"/>
      <c r="BD100" s="51"/>
      <c r="BE100" s="51"/>
      <c r="BF100" s="51"/>
      <c r="BG100" s="51"/>
      <c r="BH100" s="51"/>
      <c r="BI100" s="51"/>
      <c r="BJ100" s="51"/>
      <c r="BK100" s="51"/>
      <c r="BL100" s="51"/>
      <c r="BM100" s="51"/>
      <c r="BN100" s="51"/>
      <c r="BO100" s="51"/>
      <c r="BP100" s="51"/>
      <c r="BQ100" s="51"/>
      <c r="BR100" s="51"/>
      <c r="BS100" s="51"/>
      <c r="BT100" s="51"/>
      <c r="BU100" s="51"/>
      <c r="BV100" s="51"/>
      <c r="BW100" s="51"/>
      <c r="BX100" s="51"/>
      <c r="BY100" s="51"/>
      <c r="BZ100" s="51"/>
      <c r="CA100" s="51"/>
      <c r="CB100" s="51"/>
      <c r="CC100" s="51"/>
      <c r="CD100" s="51"/>
      <c r="CE100" s="51"/>
      <c r="CF100" s="51"/>
      <c r="CG100" s="51"/>
      <c r="CH100" s="51"/>
      <c r="CI100" s="51"/>
      <c r="CJ100" s="51"/>
      <c r="CK100" s="51"/>
      <c r="CL100" s="51"/>
      <c r="CM100" s="51"/>
      <c r="CN100" s="51"/>
      <c r="CO100" s="51"/>
      <c r="CP100" s="51"/>
      <c r="CQ100" s="51"/>
      <c r="CR100" s="51"/>
      <c r="CS100" s="51"/>
      <c r="CT100" s="42" t="str">
        <f>IFERROR(('基本数据输入&amp;测算结果'!$C$19*7-AVERAGE(B100:Y100,CP100:CS100)*7-'基本数据输入&amp;测算结果'!$C$23*7)/'基本数据输入&amp;测算结果'!$C$21*'基本数据输入&amp;测算结果'!$C$22,"无数据/数据缺失")</f>
        <v>无数据/数据缺失</v>
      </c>
      <c r="CU100" s="42">
        <f>IF(CT100&lt;0,0,IF(CT100="无数据/数据缺失",0%,IF(CT100&gt;'基本数据输入&amp;测算结果'!$C$20,100%,CT100/'基本数据输入&amp;测算结果'!$C$20)))</f>
        <v>0</v>
      </c>
      <c r="CV100" s="42" t="str">
        <f>IFERROR((AVERAGE(Z100:AG100)*2-'基本数据输入&amp;测算结果'!$C$24*2)/'基本数据输入&amp;测算结果'!$C$21/'基本数据输入&amp;测算结果'!$C$22,"无数据/数据缺失")</f>
        <v>无数据/数据缺失</v>
      </c>
      <c r="CW100" s="42">
        <f>IF(CV100&lt;0,0,IF(CV100="无数据/数据缺失",0%,IF(CV100&gt;'基本数据输入&amp;测算结果'!$C$20*CU100,CU100,CV100/'基本数据输入&amp;测算结果'!$C$20*CU100)))</f>
        <v>0</v>
      </c>
      <c r="CX100" s="42" t="str">
        <f>IFERROR(('基本数据输入&amp;测算结果'!$C$19*3-AVERAGE(AT100:BE100)*3-'基本数据输入&amp;测算结果'!$C$23*3)/'基本数据输入&amp;测算结果'!$C$21*'基本数据输入&amp;测算结果'!$C$22,"无数据/数据缺失")</f>
        <v>无数据/数据缺失</v>
      </c>
      <c r="CY100" s="42">
        <f>IF(CX100&lt;0,0,IF(CX100="无数据/数据缺失",0%,IF(CX100&gt;'基本数据输入&amp;测算结果'!$C$20,100%,CX100/'基本数据输入&amp;测算结果'!$C$20)))</f>
        <v>0</v>
      </c>
      <c r="CZ100" s="42" t="str">
        <f>IFERROR((AVERAGE(BN100:CK100)*6-'基本数据输入&amp;测算结果'!$C$24*6)/'基本数据输入&amp;测算结果'!$C$21/'基本数据输入&amp;测算结果'!$C$22,"无数据/数据缺失")</f>
        <v>无数据/数据缺失</v>
      </c>
      <c r="DA100" s="42">
        <f>IF(CZ100&lt;0,0,IF(CZ100="无数据/数据缺失",0,IF('基本数据输入&amp;测算结果'!$C$20*CY100&gt;CZ100,CZ100/'基本数据输入&amp;测算结果'!$C$20*CY100,CY100)))</f>
        <v>0</v>
      </c>
      <c r="DB100" s="49">
        <f t="shared" si="7"/>
        <v>0</v>
      </c>
      <c r="DC100" s="50"/>
      <c r="DD100" s="50"/>
    </row>
    <row r="101" customHeight="1" spans="1:108">
      <c r="A101" s="52" t="s">
        <v>155</v>
      </c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51"/>
      <c r="BC101" s="51"/>
      <c r="BD101" s="51"/>
      <c r="BE101" s="51"/>
      <c r="BF101" s="51"/>
      <c r="BG101" s="51"/>
      <c r="BH101" s="51"/>
      <c r="BI101" s="51"/>
      <c r="BJ101" s="51"/>
      <c r="BK101" s="51"/>
      <c r="BL101" s="51"/>
      <c r="BM101" s="51"/>
      <c r="BN101" s="51"/>
      <c r="BO101" s="51"/>
      <c r="BP101" s="51"/>
      <c r="BQ101" s="51"/>
      <c r="BR101" s="51"/>
      <c r="BS101" s="51"/>
      <c r="BT101" s="51"/>
      <c r="BU101" s="51"/>
      <c r="BV101" s="51"/>
      <c r="BW101" s="51"/>
      <c r="BX101" s="51"/>
      <c r="BY101" s="51"/>
      <c r="BZ101" s="51"/>
      <c r="CA101" s="51"/>
      <c r="CB101" s="51"/>
      <c r="CC101" s="51"/>
      <c r="CD101" s="51"/>
      <c r="CE101" s="51"/>
      <c r="CF101" s="51"/>
      <c r="CG101" s="51"/>
      <c r="CH101" s="51"/>
      <c r="CI101" s="51"/>
      <c r="CJ101" s="51"/>
      <c r="CK101" s="51"/>
      <c r="CL101" s="51"/>
      <c r="CM101" s="51"/>
      <c r="CN101" s="51"/>
      <c r="CO101" s="51"/>
      <c r="CP101" s="51"/>
      <c r="CQ101" s="51"/>
      <c r="CR101" s="51"/>
      <c r="CS101" s="51"/>
      <c r="CT101" s="42" t="str">
        <f>IFERROR(('基本数据输入&amp;测算结果'!$C$19*7-AVERAGE(B101:Y101,CP101:CS101)*7-'基本数据输入&amp;测算结果'!$C$23*7)/'基本数据输入&amp;测算结果'!$C$21*'基本数据输入&amp;测算结果'!$C$22,"无数据/数据缺失")</f>
        <v>无数据/数据缺失</v>
      </c>
      <c r="CU101" s="42">
        <f>IF(CT101&lt;0,0,IF(CT101="无数据/数据缺失",0%,IF(CT101&gt;'基本数据输入&amp;测算结果'!$C$20,100%,CT101/'基本数据输入&amp;测算结果'!$C$20)))</f>
        <v>0</v>
      </c>
      <c r="CV101" s="42" t="str">
        <f>IFERROR((AVERAGE(Z101:AG101)*2-'基本数据输入&amp;测算结果'!$C$24*2)/'基本数据输入&amp;测算结果'!$C$21/'基本数据输入&amp;测算结果'!$C$22,"无数据/数据缺失")</f>
        <v>无数据/数据缺失</v>
      </c>
      <c r="CW101" s="42">
        <f>IF(CV101&lt;0,0,IF(CV101="无数据/数据缺失",0%,IF(CV101&gt;'基本数据输入&amp;测算结果'!$C$20*CU101,CU101,CV101/'基本数据输入&amp;测算结果'!$C$20*CU101)))</f>
        <v>0</v>
      </c>
      <c r="CX101" s="42" t="str">
        <f>IFERROR(('基本数据输入&amp;测算结果'!$C$19*3-AVERAGE(AT101:BE101)*3-'基本数据输入&amp;测算结果'!$C$23*3)/'基本数据输入&amp;测算结果'!$C$21*'基本数据输入&amp;测算结果'!$C$22,"无数据/数据缺失")</f>
        <v>无数据/数据缺失</v>
      </c>
      <c r="CY101" s="42">
        <f>IF(CX101&lt;0,0,IF(CX101="无数据/数据缺失",0%,IF(CX101&gt;'基本数据输入&amp;测算结果'!$C$20,100%,CX101/'基本数据输入&amp;测算结果'!$C$20)))</f>
        <v>0</v>
      </c>
      <c r="CZ101" s="42" t="str">
        <f>IFERROR((AVERAGE(BN101:CK101)*6-'基本数据输入&amp;测算结果'!$C$24*6)/'基本数据输入&amp;测算结果'!$C$21/'基本数据输入&amp;测算结果'!$C$22,"无数据/数据缺失")</f>
        <v>无数据/数据缺失</v>
      </c>
      <c r="DA101" s="42">
        <f>IF(CZ101&lt;0,0,IF(CZ101="无数据/数据缺失",0,IF('基本数据输入&amp;测算结果'!$C$20*CY101&gt;CZ101,CZ101/'基本数据输入&amp;测算结果'!$C$20*CY101,CY101)))</f>
        <v>0</v>
      </c>
      <c r="DB101" s="49">
        <f t="shared" si="7"/>
        <v>0</v>
      </c>
      <c r="DC101" s="50"/>
      <c r="DD101" s="50"/>
    </row>
    <row r="102" customHeight="1" spans="1:108">
      <c r="A102" s="52" t="s">
        <v>156</v>
      </c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51"/>
      <c r="BC102" s="51"/>
      <c r="BD102" s="51"/>
      <c r="BE102" s="51"/>
      <c r="BF102" s="51"/>
      <c r="BG102" s="51"/>
      <c r="BH102" s="51"/>
      <c r="BI102" s="51"/>
      <c r="BJ102" s="51"/>
      <c r="BK102" s="51"/>
      <c r="BL102" s="51"/>
      <c r="BM102" s="51"/>
      <c r="BN102" s="51"/>
      <c r="BO102" s="51"/>
      <c r="BP102" s="51"/>
      <c r="BQ102" s="51"/>
      <c r="BR102" s="51"/>
      <c r="BS102" s="51"/>
      <c r="BT102" s="51"/>
      <c r="BU102" s="51"/>
      <c r="BV102" s="51"/>
      <c r="BW102" s="51"/>
      <c r="BX102" s="51"/>
      <c r="BY102" s="51"/>
      <c r="BZ102" s="51"/>
      <c r="CA102" s="51"/>
      <c r="CB102" s="51"/>
      <c r="CC102" s="51"/>
      <c r="CD102" s="51"/>
      <c r="CE102" s="51"/>
      <c r="CF102" s="51"/>
      <c r="CG102" s="51"/>
      <c r="CH102" s="51"/>
      <c r="CI102" s="51"/>
      <c r="CJ102" s="51"/>
      <c r="CK102" s="51"/>
      <c r="CL102" s="51"/>
      <c r="CM102" s="51"/>
      <c r="CN102" s="51"/>
      <c r="CO102" s="51"/>
      <c r="CP102" s="51"/>
      <c r="CQ102" s="51"/>
      <c r="CR102" s="51"/>
      <c r="CS102" s="51"/>
      <c r="CT102" s="42" t="str">
        <f>IFERROR(('基本数据输入&amp;测算结果'!$C$19*7-AVERAGE(B102:Y102,CP102:CS102)*7-'基本数据输入&amp;测算结果'!$C$23*7)/'基本数据输入&amp;测算结果'!$C$21*'基本数据输入&amp;测算结果'!$C$22,"无数据/数据缺失")</f>
        <v>无数据/数据缺失</v>
      </c>
      <c r="CU102" s="42">
        <f>IF(CT102&lt;0,0,IF(CT102="无数据/数据缺失",0%,IF(CT102&gt;'基本数据输入&amp;测算结果'!$C$20,100%,CT102/'基本数据输入&amp;测算结果'!$C$20)))</f>
        <v>0</v>
      </c>
      <c r="CV102" s="42" t="str">
        <f>IFERROR((AVERAGE(Z102:AG102)*2-'基本数据输入&amp;测算结果'!$C$24*2)/'基本数据输入&amp;测算结果'!$C$21/'基本数据输入&amp;测算结果'!$C$22,"无数据/数据缺失")</f>
        <v>无数据/数据缺失</v>
      </c>
      <c r="CW102" s="42">
        <f>IF(CV102&lt;0,0,IF(CV102="无数据/数据缺失",0%,IF(CV102&gt;'基本数据输入&amp;测算结果'!$C$20*CU102,CU102,CV102/'基本数据输入&amp;测算结果'!$C$20*CU102)))</f>
        <v>0</v>
      </c>
      <c r="CX102" s="42" t="str">
        <f>IFERROR(('基本数据输入&amp;测算结果'!$C$19*3-AVERAGE(AT102:BE102)*3-'基本数据输入&amp;测算结果'!$C$23*3)/'基本数据输入&amp;测算结果'!$C$21*'基本数据输入&amp;测算结果'!$C$22,"无数据/数据缺失")</f>
        <v>无数据/数据缺失</v>
      </c>
      <c r="CY102" s="42">
        <f>IF(CX102&lt;0,0,IF(CX102="无数据/数据缺失",0%,IF(CX102&gt;'基本数据输入&amp;测算结果'!$C$20,100%,CX102/'基本数据输入&amp;测算结果'!$C$20)))</f>
        <v>0</v>
      </c>
      <c r="CZ102" s="42" t="str">
        <f>IFERROR((AVERAGE(BN102:CK102)*6-'基本数据输入&amp;测算结果'!$C$24*6)/'基本数据输入&amp;测算结果'!$C$21/'基本数据输入&amp;测算结果'!$C$22,"无数据/数据缺失")</f>
        <v>无数据/数据缺失</v>
      </c>
      <c r="DA102" s="42">
        <f>IF(CZ102&lt;0,0,IF(CZ102="无数据/数据缺失",0,IF('基本数据输入&amp;测算结果'!$C$20*CY102&gt;CZ102,CZ102/'基本数据输入&amp;测算结果'!$C$20*CY102,CY102)))</f>
        <v>0</v>
      </c>
      <c r="DB102" s="49">
        <f t="shared" si="7"/>
        <v>0</v>
      </c>
      <c r="DC102" s="50"/>
      <c r="DD102" s="50"/>
    </row>
    <row r="103" customHeight="1" spans="1:108">
      <c r="A103" s="52" t="s">
        <v>157</v>
      </c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  <c r="BI103" s="51"/>
      <c r="BJ103" s="51"/>
      <c r="BK103" s="51"/>
      <c r="BL103" s="51"/>
      <c r="BM103" s="51"/>
      <c r="BN103" s="51"/>
      <c r="BO103" s="51"/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1"/>
      <c r="CA103" s="51"/>
      <c r="CB103" s="51"/>
      <c r="CC103" s="51"/>
      <c r="CD103" s="51"/>
      <c r="CE103" s="51"/>
      <c r="CF103" s="51"/>
      <c r="CG103" s="51"/>
      <c r="CH103" s="51"/>
      <c r="CI103" s="51"/>
      <c r="CJ103" s="51"/>
      <c r="CK103" s="51"/>
      <c r="CL103" s="51"/>
      <c r="CM103" s="51"/>
      <c r="CN103" s="51"/>
      <c r="CO103" s="51"/>
      <c r="CP103" s="51"/>
      <c r="CQ103" s="51"/>
      <c r="CR103" s="51"/>
      <c r="CS103" s="51"/>
      <c r="CT103" s="42" t="str">
        <f>IFERROR(('基本数据输入&amp;测算结果'!$C$19*7-AVERAGE(B103:Y103,CP103:CS103)*7-'基本数据输入&amp;测算结果'!$C$23*7)/'基本数据输入&amp;测算结果'!$C$21*'基本数据输入&amp;测算结果'!$C$22,"无数据/数据缺失")</f>
        <v>无数据/数据缺失</v>
      </c>
      <c r="CU103" s="42">
        <f>IF(CT103&lt;0,0,IF(CT103="无数据/数据缺失",0%,IF(CT103&gt;'基本数据输入&amp;测算结果'!$C$20,100%,CT103/'基本数据输入&amp;测算结果'!$C$20)))</f>
        <v>0</v>
      </c>
      <c r="CV103" s="42" t="str">
        <f>IFERROR((AVERAGE(Z103:AG103)*2-'基本数据输入&amp;测算结果'!$C$24*2)/'基本数据输入&amp;测算结果'!$C$21/'基本数据输入&amp;测算结果'!$C$22,"无数据/数据缺失")</f>
        <v>无数据/数据缺失</v>
      </c>
      <c r="CW103" s="42">
        <f>IF(CV103&lt;0,0,IF(CV103="无数据/数据缺失",0%,IF(CV103&gt;'基本数据输入&amp;测算结果'!$C$20*CU103,CU103,CV103/'基本数据输入&amp;测算结果'!$C$20*CU103)))</f>
        <v>0</v>
      </c>
      <c r="CX103" s="42" t="str">
        <f>IFERROR(('基本数据输入&amp;测算结果'!$C$19*3-AVERAGE(AT103:BE103)*3-'基本数据输入&amp;测算结果'!$C$23*3)/'基本数据输入&amp;测算结果'!$C$21*'基本数据输入&amp;测算结果'!$C$22,"无数据/数据缺失")</f>
        <v>无数据/数据缺失</v>
      </c>
      <c r="CY103" s="42">
        <f>IF(CX103&lt;0,0,IF(CX103="无数据/数据缺失",0%,IF(CX103&gt;'基本数据输入&amp;测算结果'!$C$20,100%,CX103/'基本数据输入&amp;测算结果'!$C$20)))</f>
        <v>0</v>
      </c>
      <c r="CZ103" s="42" t="str">
        <f>IFERROR((AVERAGE(BN103:CK103)*6-'基本数据输入&amp;测算结果'!$C$24*6)/'基本数据输入&amp;测算结果'!$C$21/'基本数据输入&amp;测算结果'!$C$22,"无数据/数据缺失")</f>
        <v>无数据/数据缺失</v>
      </c>
      <c r="DA103" s="42">
        <f>IF(CZ103&lt;0,0,IF(CZ103="无数据/数据缺失",0,IF('基本数据输入&amp;测算结果'!$C$20*CY103&gt;CZ103,CZ103/'基本数据输入&amp;测算结果'!$C$20*CY103,CY103)))</f>
        <v>0</v>
      </c>
      <c r="DB103" s="49">
        <f t="shared" si="7"/>
        <v>0</v>
      </c>
      <c r="DC103" s="50"/>
      <c r="DD103" s="50"/>
    </row>
    <row r="104" customHeight="1" spans="1:108">
      <c r="A104" s="52" t="s">
        <v>158</v>
      </c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51"/>
      <c r="BC104" s="51"/>
      <c r="BD104" s="51"/>
      <c r="BE104" s="51"/>
      <c r="BF104" s="51"/>
      <c r="BG104" s="51"/>
      <c r="BH104" s="51"/>
      <c r="BI104" s="51"/>
      <c r="BJ104" s="51"/>
      <c r="BK104" s="51"/>
      <c r="BL104" s="51"/>
      <c r="BM104" s="51"/>
      <c r="BN104" s="51"/>
      <c r="BO104" s="51"/>
      <c r="BP104" s="51"/>
      <c r="BQ104" s="51"/>
      <c r="BR104" s="51"/>
      <c r="BS104" s="51"/>
      <c r="BT104" s="51"/>
      <c r="BU104" s="51"/>
      <c r="BV104" s="51"/>
      <c r="BW104" s="51"/>
      <c r="BX104" s="51"/>
      <c r="BY104" s="51"/>
      <c r="BZ104" s="51"/>
      <c r="CA104" s="51"/>
      <c r="CB104" s="51"/>
      <c r="CC104" s="51"/>
      <c r="CD104" s="51"/>
      <c r="CE104" s="51"/>
      <c r="CF104" s="51"/>
      <c r="CG104" s="51"/>
      <c r="CH104" s="51"/>
      <c r="CI104" s="51"/>
      <c r="CJ104" s="51"/>
      <c r="CK104" s="51"/>
      <c r="CL104" s="51"/>
      <c r="CM104" s="51"/>
      <c r="CN104" s="51"/>
      <c r="CO104" s="51"/>
      <c r="CP104" s="51"/>
      <c r="CQ104" s="51"/>
      <c r="CR104" s="51"/>
      <c r="CS104" s="51"/>
      <c r="CT104" s="42" t="str">
        <f>IFERROR(('基本数据输入&amp;测算结果'!$C$19*7-AVERAGE(B104:Y104,CP104:CS104)*7-'基本数据输入&amp;测算结果'!$C$23*7)/'基本数据输入&amp;测算结果'!$C$21*'基本数据输入&amp;测算结果'!$C$22,"无数据/数据缺失")</f>
        <v>无数据/数据缺失</v>
      </c>
      <c r="CU104" s="42">
        <f>IF(CT104&lt;0,0,IF(CT104="无数据/数据缺失",0%,IF(CT104&gt;'基本数据输入&amp;测算结果'!$C$20,100%,CT104/'基本数据输入&amp;测算结果'!$C$20)))</f>
        <v>0</v>
      </c>
      <c r="CV104" s="42" t="str">
        <f>IFERROR((AVERAGE(Z104:AG104)*2-'基本数据输入&amp;测算结果'!$C$24*2)/'基本数据输入&amp;测算结果'!$C$21/'基本数据输入&amp;测算结果'!$C$22,"无数据/数据缺失")</f>
        <v>无数据/数据缺失</v>
      </c>
      <c r="CW104" s="42">
        <f>IF(CV104&lt;0,0,IF(CV104="无数据/数据缺失",0%,IF(CV104&gt;'基本数据输入&amp;测算结果'!$C$20*CU104,CU104,CV104/'基本数据输入&amp;测算结果'!$C$20*CU104)))</f>
        <v>0</v>
      </c>
      <c r="CX104" s="42" t="str">
        <f>IFERROR(('基本数据输入&amp;测算结果'!$C$19*3-AVERAGE(AT104:BE104)*3-'基本数据输入&amp;测算结果'!$C$23*3)/'基本数据输入&amp;测算结果'!$C$21*'基本数据输入&amp;测算结果'!$C$22,"无数据/数据缺失")</f>
        <v>无数据/数据缺失</v>
      </c>
      <c r="CY104" s="42">
        <f>IF(CX104&lt;0,0,IF(CX104="无数据/数据缺失",0%,IF(CX104&gt;'基本数据输入&amp;测算结果'!$C$20,100%,CX104/'基本数据输入&amp;测算结果'!$C$20)))</f>
        <v>0</v>
      </c>
      <c r="CZ104" s="42" t="str">
        <f>IFERROR((AVERAGE(BN104:CK104)*6-'基本数据输入&amp;测算结果'!$C$24*6)/'基本数据输入&amp;测算结果'!$C$21/'基本数据输入&amp;测算结果'!$C$22,"无数据/数据缺失")</f>
        <v>无数据/数据缺失</v>
      </c>
      <c r="DA104" s="42">
        <f>IF(CZ104&lt;0,0,IF(CZ104="无数据/数据缺失",0,IF('基本数据输入&amp;测算结果'!$C$20*CY104&gt;CZ104,CZ104/'基本数据输入&amp;测算结果'!$C$20*CY104,CY104)))</f>
        <v>0</v>
      </c>
      <c r="DB104" s="49">
        <f t="shared" si="7"/>
        <v>0</v>
      </c>
      <c r="DC104" s="50"/>
      <c r="DD104" s="50"/>
    </row>
    <row r="105" customHeight="1" spans="1:108">
      <c r="A105" s="52" t="s">
        <v>159</v>
      </c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51"/>
      <c r="BD105" s="51"/>
      <c r="BE105" s="51"/>
      <c r="BF105" s="51"/>
      <c r="BG105" s="51"/>
      <c r="BH105" s="51"/>
      <c r="BI105" s="51"/>
      <c r="BJ105" s="51"/>
      <c r="BK105" s="51"/>
      <c r="BL105" s="51"/>
      <c r="BM105" s="51"/>
      <c r="BN105" s="51"/>
      <c r="BO105" s="51"/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1"/>
      <c r="CA105" s="51"/>
      <c r="CB105" s="51"/>
      <c r="CC105" s="51"/>
      <c r="CD105" s="51"/>
      <c r="CE105" s="51"/>
      <c r="CF105" s="51"/>
      <c r="CG105" s="51"/>
      <c r="CH105" s="51"/>
      <c r="CI105" s="51"/>
      <c r="CJ105" s="51"/>
      <c r="CK105" s="51"/>
      <c r="CL105" s="51"/>
      <c r="CM105" s="51"/>
      <c r="CN105" s="51"/>
      <c r="CO105" s="51"/>
      <c r="CP105" s="51"/>
      <c r="CQ105" s="51"/>
      <c r="CR105" s="51"/>
      <c r="CS105" s="51"/>
      <c r="CT105" s="42" t="str">
        <f>IFERROR(('基本数据输入&amp;测算结果'!$C$19*7-AVERAGE(B105:Y105,CP105:CS105)*7-'基本数据输入&amp;测算结果'!$C$23*7)/'基本数据输入&amp;测算结果'!$C$21*'基本数据输入&amp;测算结果'!$C$22,"无数据/数据缺失")</f>
        <v>无数据/数据缺失</v>
      </c>
      <c r="CU105" s="42">
        <f>IF(CT105&lt;0,0,IF(CT105="无数据/数据缺失",0%,IF(CT105&gt;'基本数据输入&amp;测算结果'!$C$20,100%,CT105/'基本数据输入&amp;测算结果'!$C$20)))</f>
        <v>0</v>
      </c>
      <c r="CV105" s="42" t="str">
        <f>IFERROR((AVERAGE(Z105:AG105)*2-'基本数据输入&amp;测算结果'!$C$24*2)/'基本数据输入&amp;测算结果'!$C$21/'基本数据输入&amp;测算结果'!$C$22,"无数据/数据缺失")</f>
        <v>无数据/数据缺失</v>
      </c>
      <c r="CW105" s="42">
        <f>IF(CV105&lt;0,0,IF(CV105="无数据/数据缺失",0%,IF(CV105&gt;'基本数据输入&amp;测算结果'!$C$20*CU105,CU105,CV105/'基本数据输入&amp;测算结果'!$C$20*CU105)))</f>
        <v>0</v>
      </c>
      <c r="CX105" s="42" t="str">
        <f>IFERROR(('基本数据输入&amp;测算结果'!$C$19*3-AVERAGE(AT105:BE105)*3-'基本数据输入&amp;测算结果'!$C$23*3)/'基本数据输入&amp;测算结果'!$C$21*'基本数据输入&amp;测算结果'!$C$22,"无数据/数据缺失")</f>
        <v>无数据/数据缺失</v>
      </c>
      <c r="CY105" s="42">
        <f>IF(CX105&lt;0,0,IF(CX105="无数据/数据缺失",0%,IF(CX105&gt;'基本数据输入&amp;测算结果'!$C$20,100%,CX105/'基本数据输入&amp;测算结果'!$C$20)))</f>
        <v>0</v>
      </c>
      <c r="CZ105" s="42" t="str">
        <f>IFERROR((AVERAGE(BN105:CK105)*6-'基本数据输入&amp;测算结果'!$C$24*6)/'基本数据输入&amp;测算结果'!$C$21/'基本数据输入&amp;测算结果'!$C$22,"无数据/数据缺失")</f>
        <v>无数据/数据缺失</v>
      </c>
      <c r="DA105" s="42">
        <f>IF(CZ105&lt;0,0,IF(CZ105="无数据/数据缺失",0,IF('基本数据输入&amp;测算结果'!$C$20*CY105&gt;CZ105,CZ105/'基本数据输入&amp;测算结果'!$C$20*CY105,CY105)))</f>
        <v>0</v>
      </c>
      <c r="DB105" s="49">
        <f t="shared" si="7"/>
        <v>0</v>
      </c>
      <c r="DC105" s="50"/>
      <c r="DD105" s="50"/>
    </row>
    <row r="106" customHeight="1" spans="1:108">
      <c r="A106" s="52" t="s">
        <v>160</v>
      </c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51"/>
      <c r="BD106" s="51"/>
      <c r="BE106" s="51"/>
      <c r="BF106" s="51"/>
      <c r="BG106" s="51"/>
      <c r="BH106" s="51"/>
      <c r="BI106" s="51"/>
      <c r="BJ106" s="51"/>
      <c r="BK106" s="51"/>
      <c r="BL106" s="51"/>
      <c r="BM106" s="51"/>
      <c r="BN106" s="51"/>
      <c r="BO106" s="51"/>
      <c r="BP106" s="51"/>
      <c r="BQ106" s="51"/>
      <c r="BR106" s="51"/>
      <c r="BS106" s="51"/>
      <c r="BT106" s="51"/>
      <c r="BU106" s="51"/>
      <c r="BV106" s="51"/>
      <c r="BW106" s="51"/>
      <c r="BX106" s="51"/>
      <c r="BY106" s="51"/>
      <c r="BZ106" s="51"/>
      <c r="CA106" s="51"/>
      <c r="CB106" s="51"/>
      <c r="CC106" s="51"/>
      <c r="CD106" s="51"/>
      <c r="CE106" s="51"/>
      <c r="CF106" s="51"/>
      <c r="CG106" s="51"/>
      <c r="CH106" s="51"/>
      <c r="CI106" s="51"/>
      <c r="CJ106" s="51"/>
      <c r="CK106" s="51"/>
      <c r="CL106" s="51"/>
      <c r="CM106" s="51"/>
      <c r="CN106" s="51"/>
      <c r="CO106" s="51"/>
      <c r="CP106" s="51"/>
      <c r="CQ106" s="51"/>
      <c r="CR106" s="51"/>
      <c r="CS106" s="51"/>
      <c r="CT106" s="42" t="str">
        <f>IFERROR(('基本数据输入&amp;测算结果'!$C$19*7-AVERAGE(B106:Y106,CP106:CS106)*7-'基本数据输入&amp;测算结果'!$C$23*7)/'基本数据输入&amp;测算结果'!$C$21*'基本数据输入&amp;测算结果'!$C$22,"无数据/数据缺失")</f>
        <v>无数据/数据缺失</v>
      </c>
      <c r="CU106" s="42">
        <f>IF(CT106&lt;0,0,IF(CT106="无数据/数据缺失",0%,IF(CT106&gt;'基本数据输入&amp;测算结果'!$C$20,100%,CT106/'基本数据输入&amp;测算结果'!$C$20)))</f>
        <v>0</v>
      </c>
      <c r="CV106" s="42" t="str">
        <f>IFERROR((AVERAGE(Z106:AG106)*2-'基本数据输入&amp;测算结果'!$C$24*2)/'基本数据输入&amp;测算结果'!$C$21/'基本数据输入&amp;测算结果'!$C$22,"无数据/数据缺失")</f>
        <v>无数据/数据缺失</v>
      </c>
      <c r="CW106" s="42">
        <f>IF(CV106&lt;0,0,IF(CV106="无数据/数据缺失",0%,IF(CV106&gt;'基本数据输入&amp;测算结果'!$C$20*CU106,CU106,CV106/'基本数据输入&amp;测算结果'!$C$20*CU106)))</f>
        <v>0</v>
      </c>
      <c r="CX106" s="42" t="str">
        <f>IFERROR(('基本数据输入&amp;测算结果'!$C$19*3-AVERAGE(AT106:BE106)*3-'基本数据输入&amp;测算结果'!$C$23*3)/'基本数据输入&amp;测算结果'!$C$21*'基本数据输入&amp;测算结果'!$C$22,"无数据/数据缺失")</f>
        <v>无数据/数据缺失</v>
      </c>
      <c r="CY106" s="42">
        <f>IF(CX106&lt;0,0,IF(CX106="无数据/数据缺失",0%,IF(CX106&gt;'基本数据输入&amp;测算结果'!$C$20,100%,CX106/'基本数据输入&amp;测算结果'!$C$20)))</f>
        <v>0</v>
      </c>
      <c r="CZ106" s="42" t="str">
        <f>IFERROR((AVERAGE(BN106:CK106)*6-'基本数据输入&amp;测算结果'!$C$24*6)/'基本数据输入&amp;测算结果'!$C$21/'基本数据输入&amp;测算结果'!$C$22,"无数据/数据缺失")</f>
        <v>无数据/数据缺失</v>
      </c>
      <c r="DA106" s="42">
        <f>IF(CZ106&lt;0,0,IF(CZ106="无数据/数据缺失",0,IF('基本数据输入&amp;测算结果'!$C$20*CY106&gt;CZ106,CZ106/'基本数据输入&amp;测算结果'!$C$20*CY106,CY106)))</f>
        <v>0</v>
      </c>
      <c r="DB106" s="49">
        <f t="shared" si="7"/>
        <v>0</v>
      </c>
      <c r="DC106" s="50"/>
      <c r="DD106" s="50"/>
    </row>
    <row r="107" customHeight="1" spans="1:108">
      <c r="A107" s="52" t="s">
        <v>161</v>
      </c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51"/>
      <c r="BD107" s="51"/>
      <c r="BE107" s="51"/>
      <c r="BF107" s="51"/>
      <c r="BG107" s="51"/>
      <c r="BH107" s="51"/>
      <c r="BI107" s="51"/>
      <c r="BJ107" s="51"/>
      <c r="BK107" s="51"/>
      <c r="BL107" s="51"/>
      <c r="BM107" s="51"/>
      <c r="BN107" s="51"/>
      <c r="BO107" s="51"/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1"/>
      <c r="CA107" s="51"/>
      <c r="CB107" s="51"/>
      <c r="CC107" s="51"/>
      <c r="CD107" s="51"/>
      <c r="CE107" s="51"/>
      <c r="CF107" s="51"/>
      <c r="CG107" s="51"/>
      <c r="CH107" s="51"/>
      <c r="CI107" s="51"/>
      <c r="CJ107" s="51"/>
      <c r="CK107" s="51"/>
      <c r="CL107" s="51"/>
      <c r="CM107" s="51"/>
      <c r="CN107" s="51"/>
      <c r="CO107" s="51"/>
      <c r="CP107" s="51"/>
      <c r="CQ107" s="51"/>
      <c r="CR107" s="51"/>
      <c r="CS107" s="51"/>
      <c r="CT107" s="42" t="str">
        <f>IFERROR(('基本数据输入&amp;测算结果'!$C$19*7-AVERAGE(B107:Y107,CP107:CS107)*7-'基本数据输入&amp;测算结果'!$C$23*7)/'基本数据输入&amp;测算结果'!$C$21*'基本数据输入&amp;测算结果'!$C$22,"无数据/数据缺失")</f>
        <v>无数据/数据缺失</v>
      </c>
      <c r="CU107" s="42">
        <f>IF(CT107&lt;0,0,IF(CT107="无数据/数据缺失",0%,IF(CT107&gt;'基本数据输入&amp;测算结果'!$C$20,100%,CT107/'基本数据输入&amp;测算结果'!$C$20)))</f>
        <v>0</v>
      </c>
      <c r="CV107" s="42" t="str">
        <f>IFERROR((AVERAGE(Z107:AG107)*2-'基本数据输入&amp;测算结果'!$C$24*2)/'基本数据输入&amp;测算结果'!$C$21/'基本数据输入&amp;测算结果'!$C$22,"无数据/数据缺失")</f>
        <v>无数据/数据缺失</v>
      </c>
      <c r="CW107" s="42">
        <f>IF(CV107&lt;0,0,IF(CV107="无数据/数据缺失",0%,IF(CV107&gt;'基本数据输入&amp;测算结果'!$C$20*CU107,CU107,CV107/'基本数据输入&amp;测算结果'!$C$20*CU107)))</f>
        <v>0</v>
      </c>
      <c r="CX107" s="42" t="str">
        <f>IFERROR(('基本数据输入&amp;测算结果'!$C$19*3-AVERAGE(AT107:BE107)*3-'基本数据输入&amp;测算结果'!$C$23*3)/'基本数据输入&amp;测算结果'!$C$21*'基本数据输入&amp;测算结果'!$C$22,"无数据/数据缺失")</f>
        <v>无数据/数据缺失</v>
      </c>
      <c r="CY107" s="42">
        <f>IF(CX107&lt;0,0,IF(CX107="无数据/数据缺失",0%,IF(CX107&gt;'基本数据输入&amp;测算结果'!$C$20,100%,CX107/'基本数据输入&amp;测算结果'!$C$20)))</f>
        <v>0</v>
      </c>
      <c r="CZ107" s="42" t="str">
        <f>IFERROR((AVERAGE(BN107:CK107)*6-'基本数据输入&amp;测算结果'!$C$24*6)/'基本数据输入&amp;测算结果'!$C$21/'基本数据输入&amp;测算结果'!$C$22,"无数据/数据缺失")</f>
        <v>无数据/数据缺失</v>
      </c>
      <c r="DA107" s="42">
        <f>IF(CZ107&lt;0,0,IF(CZ107="无数据/数据缺失",0,IF('基本数据输入&amp;测算结果'!$C$20*CY107&gt;CZ107,CZ107/'基本数据输入&amp;测算结果'!$C$20*CY107,CY107)))</f>
        <v>0</v>
      </c>
      <c r="DB107" s="49">
        <f t="shared" si="7"/>
        <v>0</v>
      </c>
      <c r="DC107" s="50"/>
      <c r="DD107" s="50"/>
    </row>
    <row r="108" customHeight="1" spans="1:108">
      <c r="A108" s="52" t="s">
        <v>162</v>
      </c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51"/>
      <c r="BD108" s="51"/>
      <c r="BE108" s="51"/>
      <c r="BF108" s="51"/>
      <c r="BG108" s="51"/>
      <c r="BH108" s="51"/>
      <c r="BI108" s="51"/>
      <c r="BJ108" s="51"/>
      <c r="BK108" s="51"/>
      <c r="BL108" s="51"/>
      <c r="BM108" s="51"/>
      <c r="BN108" s="51"/>
      <c r="BO108" s="51"/>
      <c r="BP108" s="51"/>
      <c r="BQ108" s="51"/>
      <c r="BR108" s="51"/>
      <c r="BS108" s="51"/>
      <c r="BT108" s="51"/>
      <c r="BU108" s="51"/>
      <c r="BV108" s="51"/>
      <c r="BW108" s="51"/>
      <c r="BX108" s="51"/>
      <c r="BY108" s="51"/>
      <c r="BZ108" s="51"/>
      <c r="CA108" s="51"/>
      <c r="CB108" s="51"/>
      <c r="CC108" s="51"/>
      <c r="CD108" s="51"/>
      <c r="CE108" s="51"/>
      <c r="CF108" s="51"/>
      <c r="CG108" s="51"/>
      <c r="CH108" s="51"/>
      <c r="CI108" s="51"/>
      <c r="CJ108" s="51"/>
      <c r="CK108" s="51"/>
      <c r="CL108" s="51"/>
      <c r="CM108" s="51"/>
      <c r="CN108" s="51"/>
      <c r="CO108" s="51"/>
      <c r="CP108" s="51"/>
      <c r="CQ108" s="51"/>
      <c r="CR108" s="51"/>
      <c r="CS108" s="51"/>
      <c r="CT108" s="42" t="str">
        <f>IFERROR(('基本数据输入&amp;测算结果'!$C$19*7-AVERAGE(B108:Y108,CP108:CS108)*7-'基本数据输入&amp;测算结果'!$C$23*7)/'基本数据输入&amp;测算结果'!$C$21*'基本数据输入&amp;测算结果'!$C$22,"无数据/数据缺失")</f>
        <v>无数据/数据缺失</v>
      </c>
      <c r="CU108" s="42">
        <f>IF(CT108&lt;0,0,IF(CT108="无数据/数据缺失",0%,IF(CT108&gt;'基本数据输入&amp;测算结果'!$C$20,100%,CT108/'基本数据输入&amp;测算结果'!$C$20)))</f>
        <v>0</v>
      </c>
      <c r="CV108" s="42" t="str">
        <f>IFERROR((AVERAGE(Z108:AG108)*2-'基本数据输入&amp;测算结果'!$C$24*2)/'基本数据输入&amp;测算结果'!$C$21/'基本数据输入&amp;测算结果'!$C$22,"无数据/数据缺失")</f>
        <v>无数据/数据缺失</v>
      </c>
      <c r="CW108" s="42">
        <f>IF(CV108&lt;0,0,IF(CV108="无数据/数据缺失",0%,IF(CV108&gt;'基本数据输入&amp;测算结果'!$C$20*CU108,CU108,CV108/'基本数据输入&amp;测算结果'!$C$20*CU108)))</f>
        <v>0</v>
      </c>
      <c r="CX108" s="42" t="str">
        <f>IFERROR(('基本数据输入&amp;测算结果'!$C$19*3-AVERAGE(AT108:BE108)*3-'基本数据输入&amp;测算结果'!$C$23*3)/'基本数据输入&amp;测算结果'!$C$21*'基本数据输入&amp;测算结果'!$C$22,"无数据/数据缺失")</f>
        <v>无数据/数据缺失</v>
      </c>
      <c r="CY108" s="42">
        <f>IF(CX108&lt;0,0,IF(CX108="无数据/数据缺失",0%,IF(CX108&gt;'基本数据输入&amp;测算结果'!$C$20,100%,CX108/'基本数据输入&amp;测算结果'!$C$20)))</f>
        <v>0</v>
      </c>
      <c r="CZ108" s="42" t="str">
        <f>IFERROR((AVERAGE(BN108:CK108)*6-'基本数据输入&amp;测算结果'!$C$24*6)/'基本数据输入&amp;测算结果'!$C$21/'基本数据输入&amp;测算结果'!$C$22,"无数据/数据缺失")</f>
        <v>无数据/数据缺失</v>
      </c>
      <c r="DA108" s="42">
        <f>IF(CZ108&lt;0,0,IF(CZ108="无数据/数据缺失",0,IF('基本数据输入&amp;测算结果'!$C$20*CY108&gt;CZ108,CZ108/'基本数据输入&amp;测算结果'!$C$20*CY108,CY108)))</f>
        <v>0</v>
      </c>
      <c r="DB108" s="49">
        <f t="shared" si="7"/>
        <v>0</v>
      </c>
      <c r="DC108" s="50"/>
      <c r="DD108" s="50"/>
    </row>
    <row r="109" customHeight="1" spans="1:108">
      <c r="A109" s="52" t="s">
        <v>163</v>
      </c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  <c r="BI109" s="51"/>
      <c r="BJ109" s="51"/>
      <c r="BK109" s="51"/>
      <c r="BL109" s="51"/>
      <c r="BM109" s="51"/>
      <c r="BN109" s="51"/>
      <c r="BO109" s="51"/>
      <c r="BP109" s="51"/>
      <c r="BQ109" s="51"/>
      <c r="BR109" s="51"/>
      <c r="BS109" s="51"/>
      <c r="BT109" s="51"/>
      <c r="BU109" s="51"/>
      <c r="BV109" s="51"/>
      <c r="BW109" s="51"/>
      <c r="BX109" s="51"/>
      <c r="BY109" s="51"/>
      <c r="BZ109" s="51"/>
      <c r="CA109" s="51"/>
      <c r="CB109" s="51"/>
      <c r="CC109" s="51"/>
      <c r="CD109" s="51"/>
      <c r="CE109" s="51"/>
      <c r="CF109" s="51"/>
      <c r="CG109" s="51"/>
      <c r="CH109" s="51"/>
      <c r="CI109" s="51"/>
      <c r="CJ109" s="51"/>
      <c r="CK109" s="51"/>
      <c r="CL109" s="51"/>
      <c r="CM109" s="51"/>
      <c r="CN109" s="51"/>
      <c r="CO109" s="51"/>
      <c r="CP109" s="51"/>
      <c r="CQ109" s="51"/>
      <c r="CR109" s="51"/>
      <c r="CS109" s="51"/>
      <c r="CT109" s="42" t="str">
        <f>IFERROR(('基本数据输入&amp;测算结果'!$C$19*7-AVERAGE(B109:Y109,CP109:CS109)*7-'基本数据输入&amp;测算结果'!$C$23*7)/'基本数据输入&amp;测算结果'!$C$21*'基本数据输入&amp;测算结果'!$C$22,"无数据/数据缺失")</f>
        <v>无数据/数据缺失</v>
      </c>
      <c r="CU109" s="42">
        <f>IF(CT109&lt;0,0,IF(CT109="无数据/数据缺失",0%,IF(CT109&gt;'基本数据输入&amp;测算结果'!$C$20,100%,CT109/'基本数据输入&amp;测算结果'!$C$20)))</f>
        <v>0</v>
      </c>
      <c r="CV109" s="42" t="str">
        <f>IFERROR((AVERAGE(Z109:AG109)*2-'基本数据输入&amp;测算结果'!$C$24*2)/'基本数据输入&amp;测算结果'!$C$21/'基本数据输入&amp;测算结果'!$C$22,"无数据/数据缺失")</f>
        <v>无数据/数据缺失</v>
      </c>
      <c r="CW109" s="42">
        <f>IF(CV109&lt;0,0,IF(CV109="无数据/数据缺失",0%,IF(CV109&gt;'基本数据输入&amp;测算结果'!$C$20*CU109,CU109,CV109/'基本数据输入&amp;测算结果'!$C$20*CU109)))</f>
        <v>0</v>
      </c>
      <c r="CX109" s="42" t="str">
        <f>IFERROR(('基本数据输入&amp;测算结果'!$C$19*3-AVERAGE(AT109:BE109)*3-'基本数据输入&amp;测算结果'!$C$23*3)/'基本数据输入&amp;测算结果'!$C$21*'基本数据输入&amp;测算结果'!$C$22,"无数据/数据缺失")</f>
        <v>无数据/数据缺失</v>
      </c>
      <c r="CY109" s="42">
        <f>IF(CX109&lt;0,0,IF(CX109="无数据/数据缺失",0%,IF(CX109&gt;'基本数据输入&amp;测算结果'!$C$20,100%,CX109/'基本数据输入&amp;测算结果'!$C$20)))</f>
        <v>0</v>
      </c>
      <c r="CZ109" s="42" t="str">
        <f>IFERROR((AVERAGE(BN109:CK109)*6-'基本数据输入&amp;测算结果'!$C$24*6)/'基本数据输入&amp;测算结果'!$C$21/'基本数据输入&amp;测算结果'!$C$22,"无数据/数据缺失")</f>
        <v>无数据/数据缺失</v>
      </c>
      <c r="DA109" s="42">
        <f>IF(CZ109&lt;0,0,IF(CZ109="无数据/数据缺失",0,IF('基本数据输入&amp;测算结果'!$C$20*CY109&gt;CZ109,CZ109/'基本数据输入&amp;测算结果'!$C$20*CY109,CY109)))</f>
        <v>0</v>
      </c>
      <c r="DB109" s="49">
        <f t="shared" si="7"/>
        <v>0</v>
      </c>
      <c r="DC109" s="50"/>
      <c r="DD109" s="50"/>
    </row>
    <row r="110" customHeight="1" spans="1:108">
      <c r="A110" s="52" t="s">
        <v>164</v>
      </c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51"/>
      <c r="BC110" s="51"/>
      <c r="BD110" s="51"/>
      <c r="BE110" s="51"/>
      <c r="BF110" s="51"/>
      <c r="BG110" s="51"/>
      <c r="BH110" s="51"/>
      <c r="BI110" s="51"/>
      <c r="BJ110" s="51"/>
      <c r="BK110" s="51"/>
      <c r="BL110" s="51"/>
      <c r="BM110" s="51"/>
      <c r="BN110" s="51"/>
      <c r="BO110" s="51"/>
      <c r="BP110" s="51"/>
      <c r="BQ110" s="51"/>
      <c r="BR110" s="51"/>
      <c r="BS110" s="51"/>
      <c r="BT110" s="51"/>
      <c r="BU110" s="51"/>
      <c r="BV110" s="51"/>
      <c r="BW110" s="51"/>
      <c r="BX110" s="51"/>
      <c r="BY110" s="51"/>
      <c r="BZ110" s="51"/>
      <c r="CA110" s="51"/>
      <c r="CB110" s="51"/>
      <c r="CC110" s="51"/>
      <c r="CD110" s="51"/>
      <c r="CE110" s="51"/>
      <c r="CF110" s="51"/>
      <c r="CG110" s="51"/>
      <c r="CH110" s="51"/>
      <c r="CI110" s="51"/>
      <c r="CJ110" s="51"/>
      <c r="CK110" s="51"/>
      <c r="CL110" s="51"/>
      <c r="CM110" s="51"/>
      <c r="CN110" s="51"/>
      <c r="CO110" s="51"/>
      <c r="CP110" s="51"/>
      <c r="CQ110" s="51"/>
      <c r="CR110" s="51"/>
      <c r="CS110" s="51"/>
      <c r="CT110" s="42" t="str">
        <f>IFERROR(('基本数据输入&amp;测算结果'!$C$19*7-AVERAGE(B110:Y110,CP110:CS110)*7-'基本数据输入&amp;测算结果'!$C$23*7)/'基本数据输入&amp;测算结果'!$C$21*'基本数据输入&amp;测算结果'!$C$22,"无数据/数据缺失")</f>
        <v>无数据/数据缺失</v>
      </c>
      <c r="CU110" s="42">
        <f>IF(CT110&lt;0,0,IF(CT110="无数据/数据缺失",0%,IF(CT110&gt;'基本数据输入&amp;测算结果'!$C$20,100%,CT110/'基本数据输入&amp;测算结果'!$C$20)))</f>
        <v>0</v>
      </c>
      <c r="CV110" s="42" t="str">
        <f>IFERROR((AVERAGE(Z110:AG110)*2-'基本数据输入&amp;测算结果'!$C$24*2)/'基本数据输入&amp;测算结果'!$C$21/'基本数据输入&amp;测算结果'!$C$22,"无数据/数据缺失")</f>
        <v>无数据/数据缺失</v>
      </c>
      <c r="CW110" s="42">
        <f>IF(CV110&lt;0,0,IF(CV110="无数据/数据缺失",0%,IF(CV110&gt;'基本数据输入&amp;测算结果'!$C$20*CU110,CU110,CV110/'基本数据输入&amp;测算结果'!$C$20*CU110)))</f>
        <v>0</v>
      </c>
      <c r="CX110" s="42" t="str">
        <f>IFERROR(('基本数据输入&amp;测算结果'!$C$19*3-AVERAGE(AT110:BE110)*3-'基本数据输入&amp;测算结果'!$C$23*3)/'基本数据输入&amp;测算结果'!$C$21*'基本数据输入&amp;测算结果'!$C$22,"无数据/数据缺失")</f>
        <v>无数据/数据缺失</v>
      </c>
      <c r="CY110" s="42">
        <f>IF(CX110&lt;0,0,IF(CX110="无数据/数据缺失",0%,IF(CX110&gt;'基本数据输入&amp;测算结果'!$C$20,100%,CX110/'基本数据输入&amp;测算结果'!$C$20)))</f>
        <v>0</v>
      </c>
      <c r="CZ110" s="42" t="str">
        <f>IFERROR((AVERAGE(BN110:CK110)*6-'基本数据输入&amp;测算结果'!$C$24*6)/'基本数据输入&amp;测算结果'!$C$21/'基本数据输入&amp;测算结果'!$C$22,"无数据/数据缺失")</f>
        <v>无数据/数据缺失</v>
      </c>
      <c r="DA110" s="42">
        <f>IF(CZ110&lt;0,0,IF(CZ110="无数据/数据缺失",0,IF('基本数据输入&amp;测算结果'!$C$20*CY110&gt;CZ110,CZ110/'基本数据输入&amp;测算结果'!$C$20*CY110,CY110)))</f>
        <v>0</v>
      </c>
      <c r="DB110" s="49">
        <f t="shared" si="7"/>
        <v>0</v>
      </c>
      <c r="DC110" s="50"/>
      <c r="DD110" s="50"/>
    </row>
    <row r="111" customHeight="1" spans="1:108">
      <c r="A111" s="52" t="s">
        <v>165</v>
      </c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51"/>
      <c r="BD111" s="51"/>
      <c r="BE111" s="51"/>
      <c r="BF111" s="51"/>
      <c r="BG111" s="51"/>
      <c r="BH111" s="51"/>
      <c r="BI111" s="51"/>
      <c r="BJ111" s="51"/>
      <c r="BK111" s="51"/>
      <c r="BL111" s="51"/>
      <c r="BM111" s="51"/>
      <c r="BN111" s="51"/>
      <c r="BO111" s="51"/>
      <c r="BP111" s="51"/>
      <c r="BQ111" s="51"/>
      <c r="BR111" s="51"/>
      <c r="BS111" s="51"/>
      <c r="BT111" s="51"/>
      <c r="BU111" s="51"/>
      <c r="BV111" s="51"/>
      <c r="BW111" s="51"/>
      <c r="BX111" s="51"/>
      <c r="BY111" s="51"/>
      <c r="BZ111" s="51"/>
      <c r="CA111" s="51"/>
      <c r="CB111" s="51"/>
      <c r="CC111" s="51"/>
      <c r="CD111" s="51"/>
      <c r="CE111" s="51"/>
      <c r="CF111" s="51"/>
      <c r="CG111" s="51"/>
      <c r="CH111" s="51"/>
      <c r="CI111" s="51"/>
      <c r="CJ111" s="51"/>
      <c r="CK111" s="51"/>
      <c r="CL111" s="51"/>
      <c r="CM111" s="51"/>
      <c r="CN111" s="51"/>
      <c r="CO111" s="51"/>
      <c r="CP111" s="51"/>
      <c r="CQ111" s="51"/>
      <c r="CR111" s="51"/>
      <c r="CS111" s="51"/>
      <c r="CT111" s="42" t="str">
        <f>IFERROR(('基本数据输入&amp;测算结果'!$C$19*7-AVERAGE(B111:Y111,CP111:CS111)*7-'基本数据输入&amp;测算结果'!$C$23*7)/'基本数据输入&amp;测算结果'!$C$21*'基本数据输入&amp;测算结果'!$C$22,"无数据/数据缺失")</f>
        <v>无数据/数据缺失</v>
      </c>
      <c r="CU111" s="42">
        <f>IF(CT111&lt;0,0,IF(CT111="无数据/数据缺失",0%,IF(CT111&gt;'基本数据输入&amp;测算结果'!$C$20,100%,CT111/'基本数据输入&amp;测算结果'!$C$20)))</f>
        <v>0</v>
      </c>
      <c r="CV111" s="42" t="str">
        <f>IFERROR((AVERAGE(Z111:AG111)*2-'基本数据输入&amp;测算结果'!$C$24*2)/'基本数据输入&amp;测算结果'!$C$21/'基本数据输入&amp;测算结果'!$C$22,"无数据/数据缺失")</f>
        <v>无数据/数据缺失</v>
      </c>
      <c r="CW111" s="42">
        <f>IF(CV111&lt;0,0,IF(CV111="无数据/数据缺失",0%,IF(CV111&gt;'基本数据输入&amp;测算结果'!$C$20*CU111,CU111,CV111/'基本数据输入&amp;测算结果'!$C$20*CU111)))</f>
        <v>0</v>
      </c>
      <c r="CX111" s="42" t="str">
        <f>IFERROR(('基本数据输入&amp;测算结果'!$C$19*3-AVERAGE(AT111:BE111)*3-'基本数据输入&amp;测算结果'!$C$23*3)/'基本数据输入&amp;测算结果'!$C$21*'基本数据输入&amp;测算结果'!$C$22,"无数据/数据缺失")</f>
        <v>无数据/数据缺失</v>
      </c>
      <c r="CY111" s="42">
        <f>IF(CX111&lt;0,0,IF(CX111="无数据/数据缺失",0%,IF(CX111&gt;'基本数据输入&amp;测算结果'!$C$20,100%,CX111/'基本数据输入&amp;测算结果'!$C$20)))</f>
        <v>0</v>
      </c>
      <c r="CZ111" s="42" t="str">
        <f>IFERROR((AVERAGE(BN111:CK111)*6-'基本数据输入&amp;测算结果'!$C$24*6)/'基本数据输入&amp;测算结果'!$C$21/'基本数据输入&amp;测算结果'!$C$22,"无数据/数据缺失")</f>
        <v>无数据/数据缺失</v>
      </c>
      <c r="DA111" s="42">
        <f>IF(CZ111&lt;0,0,IF(CZ111="无数据/数据缺失",0,IF('基本数据输入&amp;测算结果'!$C$20*CY111&gt;CZ111,CZ111/'基本数据输入&amp;测算结果'!$C$20*CY111,CY111)))</f>
        <v>0</v>
      </c>
      <c r="DB111" s="49">
        <f t="shared" si="7"/>
        <v>0</v>
      </c>
      <c r="DC111" s="50"/>
      <c r="DD111" s="50"/>
    </row>
    <row r="112" customHeight="1" spans="1:108">
      <c r="A112" s="52" t="s">
        <v>166</v>
      </c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  <c r="BN112" s="51"/>
      <c r="BO112" s="51"/>
      <c r="BP112" s="51"/>
      <c r="BQ112" s="51"/>
      <c r="BR112" s="51"/>
      <c r="BS112" s="51"/>
      <c r="BT112" s="51"/>
      <c r="BU112" s="51"/>
      <c r="BV112" s="51"/>
      <c r="BW112" s="51"/>
      <c r="BX112" s="51"/>
      <c r="BY112" s="51"/>
      <c r="BZ112" s="51"/>
      <c r="CA112" s="51"/>
      <c r="CB112" s="51"/>
      <c r="CC112" s="51"/>
      <c r="CD112" s="51"/>
      <c r="CE112" s="51"/>
      <c r="CF112" s="51"/>
      <c r="CG112" s="51"/>
      <c r="CH112" s="51"/>
      <c r="CI112" s="51"/>
      <c r="CJ112" s="51"/>
      <c r="CK112" s="51"/>
      <c r="CL112" s="51"/>
      <c r="CM112" s="51"/>
      <c r="CN112" s="51"/>
      <c r="CO112" s="51"/>
      <c r="CP112" s="51"/>
      <c r="CQ112" s="51"/>
      <c r="CR112" s="51"/>
      <c r="CS112" s="51"/>
      <c r="CT112" s="42" t="str">
        <f>IFERROR(('基本数据输入&amp;测算结果'!$C$19*7-AVERAGE(B112:Y112,CP112:CS112)*7-'基本数据输入&amp;测算结果'!$C$23*7)/'基本数据输入&amp;测算结果'!$C$21*'基本数据输入&amp;测算结果'!$C$22,"无数据/数据缺失")</f>
        <v>无数据/数据缺失</v>
      </c>
      <c r="CU112" s="42">
        <f>IF(CT112&lt;0,0,IF(CT112="无数据/数据缺失",0%,IF(CT112&gt;'基本数据输入&amp;测算结果'!$C$20,100%,CT112/'基本数据输入&amp;测算结果'!$C$20)))</f>
        <v>0</v>
      </c>
      <c r="CV112" s="42" t="str">
        <f>IFERROR((AVERAGE(Z112:AG112)*2-'基本数据输入&amp;测算结果'!$C$24*2)/'基本数据输入&amp;测算结果'!$C$21/'基本数据输入&amp;测算结果'!$C$22,"无数据/数据缺失")</f>
        <v>无数据/数据缺失</v>
      </c>
      <c r="CW112" s="42">
        <f>IF(CV112&lt;0,0,IF(CV112="无数据/数据缺失",0%,IF(CV112&gt;'基本数据输入&amp;测算结果'!$C$20*CU112,CU112,CV112/'基本数据输入&amp;测算结果'!$C$20*CU112)))</f>
        <v>0</v>
      </c>
      <c r="CX112" s="42" t="str">
        <f>IFERROR(('基本数据输入&amp;测算结果'!$C$19*3-AVERAGE(AT112:BE112)*3-'基本数据输入&amp;测算结果'!$C$23*3)/'基本数据输入&amp;测算结果'!$C$21*'基本数据输入&amp;测算结果'!$C$22,"无数据/数据缺失")</f>
        <v>无数据/数据缺失</v>
      </c>
      <c r="CY112" s="42">
        <f>IF(CX112&lt;0,0,IF(CX112="无数据/数据缺失",0%,IF(CX112&gt;'基本数据输入&amp;测算结果'!$C$20,100%,CX112/'基本数据输入&amp;测算结果'!$C$20)))</f>
        <v>0</v>
      </c>
      <c r="CZ112" s="42" t="str">
        <f>IFERROR((AVERAGE(BN112:CK112)*6-'基本数据输入&amp;测算结果'!$C$24*6)/'基本数据输入&amp;测算结果'!$C$21/'基本数据输入&amp;测算结果'!$C$22,"无数据/数据缺失")</f>
        <v>无数据/数据缺失</v>
      </c>
      <c r="DA112" s="42">
        <f>IF(CZ112&lt;0,0,IF(CZ112="无数据/数据缺失",0,IF('基本数据输入&amp;测算结果'!$C$20*CY112&gt;CZ112,CZ112/'基本数据输入&amp;测算结果'!$C$20*CY112,CY112)))</f>
        <v>0</v>
      </c>
      <c r="DB112" s="49">
        <f t="shared" si="7"/>
        <v>0</v>
      </c>
      <c r="DC112" s="50"/>
      <c r="DD112" s="50"/>
    </row>
    <row r="113" customHeight="1" spans="1:108">
      <c r="A113" s="52" t="s">
        <v>167</v>
      </c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  <c r="CI113" s="51"/>
      <c r="CJ113" s="51"/>
      <c r="CK113" s="51"/>
      <c r="CL113" s="51"/>
      <c r="CM113" s="51"/>
      <c r="CN113" s="51"/>
      <c r="CO113" s="51"/>
      <c r="CP113" s="51"/>
      <c r="CQ113" s="51"/>
      <c r="CR113" s="51"/>
      <c r="CS113" s="51"/>
      <c r="CT113" s="42" t="str">
        <f>IFERROR(('基本数据输入&amp;测算结果'!$C$19*7-AVERAGE(B113:Y113,CP113:CS113)*7-'基本数据输入&amp;测算结果'!$C$23*7)/'基本数据输入&amp;测算结果'!$C$21*'基本数据输入&amp;测算结果'!$C$22,"无数据/数据缺失")</f>
        <v>无数据/数据缺失</v>
      </c>
      <c r="CU113" s="42">
        <f>IF(CT113&lt;0,0,IF(CT113="无数据/数据缺失",0%,IF(CT113&gt;'基本数据输入&amp;测算结果'!$C$20,100%,CT113/'基本数据输入&amp;测算结果'!$C$20)))</f>
        <v>0</v>
      </c>
      <c r="CV113" s="42" t="str">
        <f>IFERROR((AVERAGE(Z113:AG113)*2-'基本数据输入&amp;测算结果'!$C$24*2)/'基本数据输入&amp;测算结果'!$C$21/'基本数据输入&amp;测算结果'!$C$22,"无数据/数据缺失")</f>
        <v>无数据/数据缺失</v>
      </c>
      <c r="CW113" s="42">
        <f>IF(CV113&lt;0,0,IF(CV113="无数据/数据缺失",0%,IF(CV113&gt;'基本数据输入&amp;测算结果'!$C$20*CU113,CU113,CV113/'基本数据输入&amp;测算结果'!$C$20*CU113)))</f>
        <v>0</v>
      </c>
      <c r="CX113" s="42" t="str">
        <f>IFERROR(('基本数据输入&amp;测算结果'!$C$19*3-AVERAGE(AT113:BE113)*3-'基本数据输入&amp;测算结果'!$C$23*3)/'基本数据输入&amp;测算结果'!$C$21*'基本数据输入&amp;测算结果'!$C$22,"无数据/数据缺失")</f>
        <v>无数据/数据缺失</v>
      </c>
      <c r="CY113" s="42">
        <f>IF(CX113&lt;0,0,IF(CX113="无数据/数据缺失",0%,IF(CX113&gt;'基本数据输入&amp;测算结果'!$C$20,100%,CX113/'基本数据输入&amp;测算结果'!$C$20)))</f>
        <v>0</v>
      </c>
      <c r="CZ113" s="42" t="str">
        <f>IFERROR((AVERAGE(BN113:CK113)*6-'基本数据输入&amp;测算结果'!$C$24*6)/'基本数据输入&amp;测算结果'!$C$21/'基本数据输入&amp;测算结果'!$C$22,"无数据/数据缺失")</f>
        <v>无数据/数据缺失</v>
      </c>
      <c r="DA113" s="42">
        <f>IF(CZ113&lt;0,0,IF(CZ113="无数据/数据缺失",0,IF('基本数据输入&amp;测算结果'!$C$20*CY113&gt;CZ113,CZ113/'基本数据输入&amp;测算结果'!$C$20*CY113,CY113)))</f>
        <v>0</v>
      </c>
      <c r="DB113" s="49">
        <f t="shared" si="7"/>
        <v>0</v>
      </c>
      <c r="DC113" s="50"/>
      <c r="DD113" s="50"/>
    </row>
    <row r="114" customHeight="1" spans="1:108">
      <c r="A114" s="52" t="s">
        <v>168</v>
      </c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  <c r="BL114" s="51"/>
      <c r="BM114" s="51"/>
      <c r="BN114" s="51"/>
      <c r="BO114" s="51"/>
      <c r="BP114" s="51"/>
      <c r="BQ114" s="51"/>
      <c r="BR114" s="51"/>
      <c r="BS114" s="51"/>
      <c r="BT114" s="51"/>
      <c r="BU114" s="51"/>
      <c r="BV114" s="51"/>
      <c r="BW114" s="51"/>
      <c r="BX114" s="51"/>
      <c r="BY114" s="51"/>
      <c r="BZ114" s="51"/>
      <c r="CA114" s="51"/>
      <c r="CB114" s="51"/>
      <c r="CC114" s="51"/>
      <c r="CD114" s="51"/>
      <c r="CE114" s="51"/>
      <c r="CF114" s="51"/>
      <c r="CG114" s="51"/>
      <c r="CH114" s="51"/>
      <c r="CI114" s="51"/>
      <c r="CJ114" s="51"/>
      <c r="CK114" s="51"/>
      <c r="CL114" s="51"/>
      <c r="CM114" s="51"/>
      <c r="CN114" s="51"/>
      <c r="CO114" s="51"/>
      <c r="CP114" s="51"/>
      <c r="CQ114" s="51"/>
      <c r="CR114" s="51"/>
      <c r="CS114" s="51"/>
      <c r="CT114" s="42" t="str">
        <f>IFERROR(('基本数据输入&amp;测算结果'!$C$19*7-AVERAGE(B114:Y114,CP114:CS114)*7-'基本数据输入&amp;测算结果'!$C$23*7)/'基本数据输入&amp;测算结果'!$C$21*'基本数据输入&amp;测算结果'!$C$22,"无数据/数据缺失")</f>
        <v>无数据/数据缺失</v>
      </c>
      <c r="CU114" s="42">
        <f>IF(CT114&lt;0,0,IF(CT114="无数据/数据缺失",0%,IF(CT114&gt;'基本数据输入&amp;测算结果'!$C$20,100%,CT114/'基本数据输入&amp;测算结果'!$C$20)))</f>
        <v>0</v>
      </c>
      <c r="CV114" s="42" t="str">
        <f>IFERROR((AVERAGE(Z114:AG114)*2-'基本数据输入&amp;测算结果'!$C$24*2)/'基本数据输入&amp;测算结果'!$C$21/'基本数据输入&amp;测算结果'!$C$22,"无数据/数据缺失")</f>
        <v>无数据/数据缺失</v>
      </c>
      <c r="CW114" s="42">
        <f>IF(CV114&lt;0,0,IF(CV114="无数据/数据缺失",0%,IF(CV114&gt;'基本数据输入&amp;测算结果'!$C$20*CU114,CU114,CV114/'基本数据输入&amp;测算结果'!$C$20*CU114)))</f>
        <v>0</v>
      </c>
      <c r="CX114" s="42" t="str">
        <f>IFERROR(('基本数据输入&amp;测算结果'!$C$19*3-AVERAGE(AT114:BE114)*3-'基本数据输入&amp;测算结果'!$C$23*3)/'基本数据输入&amp;测算结果'!$C$21*'基本数据输入&amp;测算结果'!$C$22,"无数据/数据缺失")</f>
        <v>无数据/数据缺失</v>
      </c>
      <c r="CY114" s="42">
        <f>IF(CX114&lt;0,0,IF(CX114="无数据/数据缺失",0%,IF(CX114&gt;'基本数据输入&amp;测算结果'!$C$20,100%,CX114/'基本数据输入&amp;测算结果'!$C$20)))</f>
        <v>0</v>
      </c>
      <c r="CZ114" s="42" t="str">
        <f>IFERROR((AVERAGE(BN114:CK114)*6-'基本数据输入&amp;测算结果'!$C$24*6)/'基本数据输入&amp;测算结果'!$C$21/'基本数据输入&amp;测算结果'!$C$22,"无数据/数据缺失")</f>
        <v>无数据/数据缺失</v>
      </c>
      <c r="DA114" s="42">
        <f>IF(CZ114&lt;0,0,IF(CZ114="无数据/数据缺失",0,IF('基本数据输入&amp;测算结果'!$C$20*CY114&gt;CZ114,CZ114/'基本数据输入&amp;测算结果'!$C$20*CY114,CY114)))</f>
        <v>0</v>
      </c>
      <c r="DB114" s="49">
        <f t="shared" si="7"/>
        <v>0</v>
      </c>
      <c r="DC114" s="50"/>
      <c r="DD114" s="50"/>
    </row>
    <row r="115" customHeight="1" spans="1:108">
      <c r="A115" s="52" t="s">
        <v>169</v>
      </c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1"/>
      <c r="BJ115" s="51"/>
      <c r="BK115" s="51"/>
      <c r="BL115" s="51"/>
      <c r="BM115" s="51"/>
      <c r="BN115" s="51"/>
      <c r="BO115" s="51"/>
      <c r="BP115" s="51"/>
      <c r="BQ115" s="51"/>
      <c r="BR115" s="51"/>
      <c r="BS115" s="51"/>
      <c r="BT115" s="51"/>
      <c r="BU115" s="51"/>
      <c r="BV115" s="51"/>
      <c r="BW115" s="51"/>
      <c r="BX115" s="51"/>
      <c r="BY115" s="51"/>
      <c r="BZ115" s="51"/>
      <c r="CA115" s="51"/>
      <c r="CB115" s="51"/>
      <c r="CC115" s="51"/>
      <c r="CD115" s="51"/>
      <c r="CE115" s="51"/>
      <c r="CF115" s="51"/>
      <c r="CG115" s="51"/>
      <c r="CH115" s="51"/>
      <c r="CI115" s="51"/>
      <c r="CJ115" s="51"/>
      <c r="CK115" s="51"/>
      <c r="CL115" s="51"/>
      <c r="CM115" s="51"/>
      <c r="CN115" s="51"/>
      <c r="CO115" s="51"/>
      <c r="CP115" s="51"/>
      <c r="CQ115" s="51"/>
      <c r="CR115" s="51"/>
      <c r="CS115" s="51"/>
      <c r="CT115" s="42" t="str">
        <f>IFERROR(('基本数据输入&amp;测算结果'!$C$19*7-AVERAGE(B115:Y115,CP115:CS115)*7-'基本数据输入&amp;测算结果'!$C$23*7)/'基本数据输入&amp;测算结果'!$C$21*'基本数据输入&amp;测算结果'!$C$22,"无数据/数据缺失")</f>
        <v>无数据/数据缺失</v>
      </c>
      <c r="CU115" s="42">
        <f>IF(CT115&lt;0,0,IF(CT115="无数据/数据缺失",0%,IF(CT115&gt;'基本数据输入&amp;测算结果'!$C$20,100%,CT115/'基本数据输入&amp;测算结果'!$C$20)))</f>
        <v>0</v>
      </c>
      <c r="CV115" s="42" t="str">
        <f>IFERROR((AVERAGE(Z115:AG115)*2-'基本数据输入&amp;测算结果'!$C$24*2)/'基本数据输入&amp;测算结果'!$C$21/'基本数据输入&amp;测算结果'!$C$22,"无数据/数据缺失")</f>
        <v>无数据/数据缺失</v>
      </c>
      <c r="CW115" s="42">
        <f>IF(CV115&lt;0,0,IF(CV115="无数据/数据缺失",0%,IF(CV115&gt;'基本数据输入&amp;测算结果'!$C$20*CU115,CU115,CV115/'基本数据输入&amp;测算结果'!$C$20*CU115)))</f>
        <v>0</v>
      </c>
      <c r="CX115" s="42" t="str">
        <f>IFERROR(('基本数据输入&amp;测算结果'!$C$19*3-AVERAGE(AT115:BE115)*3-'基本数据输入&amp;测算结果'!$C$23*3)/'基本数据输入&amp;测算结果'!$C$21*'基本数据输入&amp;测算结果'!$C$22,"无数据/数据缺失")</f>
        <v>无数据/数据缺失</v>
      </c>
      <c r="CY115" s="42">
        <f>IF(CX115&lt;0,0,IF(CX115="无数据/数据缺失",0%,IF(CX115&gt;'基本数据输入&amp;测算结果'!$C$20,100%,CX115/'基本数据输入&amp;测算结果'!$C$20)))</f>
        <v>0</v>
      </c>
      <c r="CZ115" s="42" t="str">
        <f>IFERROR((AVERAGE(BN115:CK115)*6-'基本数据输入&amp;测算结果'!$C$24*6)/'基本数据输入&amp;测算结果'!$C$21/'基本数据输入&amp;测算结果'!$C$22,"无数据/数据缺失")</f>
        <v>无数据/数据缺失</v>
      </c>
      <c r="DA115" s="42">
        <f>IF(CZ115&lt;0,0,IF(CZ115="无数据/数据缺失",0,IF('基本数据输入&amp;测算结果'!$C$20*CY115&gt;CZ115,CZ115/'基本数据输入&amp;测算结果'!$C$20*CY115,CY115)))</f>
        <v>0</v>
      </c>
      <c r="DB115" s="49">
        <f t="shared" si="7"/>
        <v>0</v>
      </c>
      <c r="DC115" s="50"/>
      <c r="DD115" s="50"/>
    </row>
    <row r="116" customHeight="1" spans="1:108">
      <c r="A116" s="52" t="s">
        <v>170</v>
      </c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  <c r="BL116" s="51"/>
      <c r="BM116" s="51"/>
      <c r="BN116" s="51"/>
      <c r="BO116" s="51"/>
      <c r="BP116" s="51"/>
      <c r="BQ116" s="51"/>
      <c r="BR116" s="51"/>
      <c r="BS116" s="51"/>
      <c r="BT116" s="51"/>
      <c r="BU116" s="51"/>
      <c r="BV116" s="51"/>
      <c r="BW116" s="51"/>
      <c r="BX116" s="51"/>
      <c r="BY116" s="51"/>
      <c r="BZ116" s="51"/>
      <c r="CA116" s="51"/>
      <c r="CB116" s="51"/>
      <c r="CC116" s="51"/>
      <c r="CD116" s="51"/>
      <c r="CE116" s="51"/>
      <c r="CF116" s="51"/>
      <c r="CG116" s="51"/>
      <c r="CH116" s="51"/>
      <c r="CI116" s="51"/>
      <c r="CJ116" s="51"/>
      <c r="CK116" s="51"/>
      <c r="CL116" s="51"/>
      <c r="CM116" s="51"/>
      <c r="CN116" s="51"/>
      <c r="CO116" s="51"/>
      <c r="CP116" s="51"/>
      <c r="CQ116" s="51"/>
      <c r="CR116" s="51"/>
      <c r="CS116" s="51"/>
      <c r="CT116" s="42" t="str">
        <f>IFERROR(('基本数据输入&amp;测算结果'!$C$19*7-AVERAGE(B116:Y116,CP116:CS116)*7-'基本数据输入&amp;测算结果'!$C$23*7)/'基本数据输入&amp;测算结果'!$C$21*'基本数据输入&amp;测算结果'!$C$22,"无数据/数据缺失")</f>
        <v>无数据/数据缺失</v>
      </c>
      <c r="CU116" s="42">
        <f>IF(CT116&lt;0,0,IF(CT116="无数据/数据缺失",0%,IF(CT116&gt;'基本数据输入&amp;测算结果'!$C$20,100%,CT116/'基本数据输入&amp;测算结果'!$C$20)))</f>
        <v>0</v>
      </c>
      <c r="CV116" s="42" t="str">
        <f>IFERROR((AVERAGE(Z116:AG116)*2-'基本数据输入&amp;测算结果'!$C$24*2)/'基本数据输入&amp;测算结果'!$C$21/'基本数据输入&amp;测算结果'!$C$22,"无数据/数据缺失")</f>
        <v>无数据/数据缺失</v>
      </c>
      <c r="CW116" s="42">
        <f>IF(CV116&lt;0,0,IF(CV116="无数据/数据缺失",0%,IF(CV116&gt;'基本数据输入&amp;测算结果'!$C$20*CU116,CU116,CV116/'基本数据输入&amp;测算结果'!$C$20*CU116)))</f>
        <v>0</v>
      </c>
      <c r="CX116" s="42" t="str">
        <f>IFERROR(('基本数据输入&amp;测算结果'!$C$19*3-AVERAGE(AT116:BE116)*3-'基本数据输入&amp;测算结果'!$C$23*3)/'基本数据输入&amp;测算结果'!$C$21*'基本数据输入&amp;测算结果'!$C$22,"无数据/数据缺失")</f>
        <v>无数据/数据缺失</v>
      </c>
      <c r="CY116" s="42">
        <f>IF(CX116&lt;0,0,IF(CX116="无数据/数据缺失",0%,IF(CX116&gt;'基本数据输入&amp;测算结果'!$C$20,100%,CX116/'基本数据输入&amp;测算结果'!$C$20)))</f>
        <v>0</v>
      </c>
      <c r="CZ116" s="42" t="str">
        <f>IFERROR((AVERAGE(BN116:CK116)*6-'基本数据输入&amp;测算结果'!$C$24*6)/'基本数据输入&amp;测算结果'!$C$21/'基本数据输入&amp;测算结果'!$C$22,"无数据/数据缺失")</f>
        <v>无数据/数据缺失</v>
      </c>
      <c r="DA116" s="42">
        <f>IF(CZ116&lt;0,0,IF(CZ116="无数据/数据缺失",0,IF('基本数据输入&amp;测算结果'!$C$20*CY116&gt;CZ116,CZ116/'基本数据输入&amp;测算结果'!$C$20*CY116,CY116)))</f>
        <v>0</v>
      </c>
      <c r="DB116" s="49">
        <f t="shared" si="7"/>
        <v>0</v>
      </c>
      <c r="DC116" s="50"/>
      <c r="DD116" s="50"/>
    </row>
    <row r="117" customHeight="1" spans="1:108">
      <c r="A117" s="52" t="s">
        <v>171</v>
      </c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/>
      <c r="BG117" s="51"/>
      <c r="BH117" s="51"/>
      <c r="BI117" s="51"/>
      <c r="BJ117" s="51"/>
      <c r="BK117" s="51"/>
      <c r="BL117" s="51"/>
      <c r="BM117" s="51"/>
      <c r="BN117" s="51"/>
      <c r="BO117" s="51"/>
      <c r="BP117" s="51"/>
      <c r="BQ117" s="51"/>
      <c r="BR117" s="51"/>
      <c r="BS117" s="51"/>
      <c r="BT117" s="51"/>
      <c r="BU117" s="51"/>
      <c r="BV117" s="51"/>
      <c r="BW117" s="51"/>
      <c r="BX117" s="51"/>
      <c r="BY117" s="51"/>
      <c r="BZ117" s="51"/>
      <c r="CA117" s="51"/>
      <c r="CB117" s="51"/>
      <c r="CC117" s="51"/>
      <c r="CD117" s="51"/>
      <c r="CE117" s="51"/>
      <c r="CF117" s="51"/>
      <c r="CG117" s="51"/>
      <c r="CH117" s="51"/>
      <c r="CI117" s="51"/>
      <c r="CJ117" s="51"/>
      <c r="CK117" s="51"/>
      <c r="CL117" s="51"/>
      <c r="CM117" s="51"/>
      <c r="CN117" s="51"/>
      <c r="CO117" s="51"/>
      <c r="CP117" s="51"/>
      <c r="CQ117" s="51"/>
      <c r="CR117" s="51"/>
      <c r="CS117" s="51"/>
      <c r="CT117" s="42" t="str">
        <f>IFERROR(('基本数据输入&amp;测算结果'!$C$19*7-AVERAGE(B117:Y117,CP117:CS117)*7-'基本数据输入&amp;测算结果'!$C$23*7)/'基本数据输入&amp;测算结果'!$C$21*'基本数据输入&amp;测算结果'!$C$22,"无数据/数据缺失")</f>
        <v>无数据/数据缺失</v>
      </c>
      <c r="CU117" s="42">
        <f>IF(CT117&lt;0,0,IF(CT117="无数据/数据缺失",0%,IF(CT117&gt;'基本数据输入&amp;测算结果'!$C$20,100%,CT117/'基本数据输入&amp;测算结果'!$C$20)))</f>
        <v>0</v>
      </c>
      <c r="CV117" s="42" t="str">
        <f>IFERROR((AVERAGE(Z117:AG117)*2-'基本数据输入&amp;测算结果'!$C$24*2)/'基本数据输入&amp;测算结果'!$C$21/'基本数据输入&amp;测算结果'!$C$22,"无数据/数据缺失")</f>
        <v>无数据/数据缺失</v>
      </c>
      <c r="CW117" s="42">
        <f>IF(CV117&lt;0,0,IF(CV117="无数据/数据缺失",0%,IF(CV117&gt;'基本数据输入&amp;测算结果'!$C$20*CU117,CU117,CV117/'基本数据输入&amp;测算结果'!$C$20*CU117)))</f>
        <v>0</v>
      </c>
      <c r="CX117" s="42" t="str">
        <f>IFERROR(('基本数据输入&amp;测算结果'!$C$19*3-AVERAGE(AT117:BE117)*3-'基本数据输入&amp;测算结果'!$C$23*3)/'基本数据输入&amp;测算结果'!$C$21*'基本数据输入&amp;测算结果'!$C$22,"无数据/数据缺失")</f>
        <v>无数据/数据缺失</v>
      </c>
      <c r="CY117" s="42">
        <f>IF(CX117&lt;0,0,IF(CX117="无数据/数据缺失",0%,IF(CX117&gt;'基本数据输入&amp;测算结果'!$C$20,100%,CX117/'基本数据输入&amp;测算结果'!$C$20)))</f>
        <v>0</v>
      </c>
      <c r="CZ117" s="42" t="str">
        <f>IFERROR((AVERAGE(BN117:CK117)*6-'基本数据输入&amp;测算结果'!$C$24*6)/'基本数据输入&amp;测算结果'!$C$21/'基本数据输入&amp;测算结果'!$C$22,"无数据/数据缺失")</f>
        <v>无数据/数据缺失</v>
      </c>
      <c r="DA117" s="42">
        <f>IF(CZ117&lt;0,0,IF(CZ117="无数据/数据缺失",0,IF('基本数据输入&amp;测算结果'!$C$20*CY117&gt;CZ117,CZ117/'基本数据输入&amp;测算结果'!$C$20*CY117,CY117)))</f>
        <v>0</v>
      </c>
      <c r="DB117" s="49">
        <f t="shared" si="7"/>
        <v>0</v>
      </c>
      <c r="DC117" s="50"/>
      <c r="DD117" s="50"/>
    </row>
    <row r="118" customHeight="1" spans="1:108">
      <c r="A118" s="52" t="s">
        <v>172</v>
      </c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1"/>
      <c r="BJ118" s="51"/>
      <c r="BK118" s="51"/>
      <c r="BL118" s="51"/>
      <c r="BM118" s="51"/>
      <c r="BN118" s="51"/>
      <c r="BO118" s="51"/>
      <c r="BP118" s="51"/>
      <c r="BQ118" s="51"/>
      <c r="BR118" s="51"/>
      <c r="BS118" s="51"/>
      <c r="BT118" s="51"/>
      <c r="BU118" s="51"/>
      <c r="BV118" s="51"/>
      <c r="BW118" s="51"/>
      <c r="BX118" s="51"/>
      <c r="BY118" s="51"/>
      <c r="BZ118" s="51"/>
      <c r="CA118" s="51"/>
      <c r="CB118" s="51"/>
      <c r="CC118" s="51"/>
      <c r="CD118" s="51"/>
      <c r="CE118" s="51"/>
      <c r="CF118" s="51"/>
      <c r="CG118" s="51"/>
      <c r="CH118" s="51"/>
      <c r="CI118" s="51"/>
      <c r="CJ118" s="51"/>
      <c r="CK118" s="51"/>
      <c r="CL118" s="51"/>
      <c r="CM118" s="51"/>
      <c r="CN118" s="51"/>
      <c r="CO118" s="51"/>
      <c r="CP118" s="51"/>
      <c r="CQ118" s="51"/>
      <c r="CR118" s="51"/>
      <c r="CS118" s="51"/>
      <c r="CT118" s="42" t="str">
        <f>IFERROR(('基本数据输入&amp;测算结果'!$C$19*7-AVERAGE(B118:Y118,CP118:CS118)*7-'基本数据输入&amp;测算结果'!$C$23*7)/'基本数据输入&amp;测算结果'!$C$21*'基本数据输入&amp;测算结果'!$C$22,"无数据/数据缺失")</f>
        <v>无数据/数据缺失</v>
      </c>
      <c r="CU118" s="42">
        <f>IF(CT118&lt;0,0,IF(CT118="无数据/数据缺失",0%,IF(CT118&gt;'基本数据输入&amp;测算结果'!$C$20,100%,CT118/'基本数据输入&amp;测算结果'!$C$20)))</f>
        <v>0</v>
      </c>
      <c r="CV118" s="42" t="str">
        <f>IFERROR((AVERAGE(Z118:AG118)*2-'基本数据输入&amp;测算结果'!$C$24*2)/'基本数据输入&amp;测算结果'!$C$21/'基本数据输入&amp;测算结果'!$C$22,"无数据/数据缺失")</f>
        <v>无数据/数据缺失</v>
      </c>
      <c r="CW118" s="42">
        <f>IF(CV118&lt;0,0,IF(CV118="无数据/数据缺失",0%,IF(CV118&gt;'基本数据输入&amp;测算结果'!$C$20*CU118,CU118,CV118/'基本数据输入&amp;测算结果'!$C$20*CU118)))</f>
        <v>0</v>
      </c>
      <c r="CX118" s="42" t="str">
        <f>IFERROR(('基本数据输入&amp;测算结果'!$C$19*3-AVERAGE(AT118:BE118)*3-'基本数据输入&amp;测算结果'!$C$23*3)/'基本数据输入&amp;测算结果'!$C$21*'基本数据输入&amp;测算结果'!$C$22,"无数据/数据缺失")</f>
        <v>无数据/数据缺失</v>
      </c>
      <c r="CY118" s="42">
        <f>IF(CX118&lt;0,0,IF(CX118="无数据/数据缺失",0%,IF(CX118&gt;'基本数据输入&amp;测算结果'!$C$20,100%,CX118/'基本数据输入&amp;测算结果'!$C$20)))</f>
        <v>0</v>
      </c>
      <c r="CZ118" s="42" t="str">
        <f>IFERROR((AVERAGE(BN118:CK118)*6-'基本数据输入&amp;测算结果'!$C$24*6)/'基本数据输入&amp;测算结果'!$C$21/'基本数据输入&amp;测算结果'!$C$22,"无数据/数据缺失")</f>
        <v>无数据/数据缺失</v>
      </c>
      <c r="DA118" s="42">
        <f>IF(CZ118&lt;0,0,IF(CZ118="无数据/数据缺失",0,IF('基本数据输入&amp;测算结果'!$C$20*CY118&gt;CZ118,CZ118/'基本数据输入&amp;测算结果'!$C$20*CY118,CY118)))</f>
        <v>0</v>
      </c>
      <c r="DB118" s="49">
        <f t="shared" si="7"/>
        <v>0</v>
      </c>
      <c r="DC118" s="50"/>
      <c r="DD118" s="50"/>
    </row>
    <row r="119" customHeight="1" spans="1:108">
      <c r="A119" s="52" t="s">
        <v>173</v>
      </c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  <c r="BI119" s="51"/>
      <c r="BJ119" s="51"/>
      <c r="BK119" s="51"/>
      <c r="BL119" s="51"/>
      <c r="BM119" s="51"/>
      <c r="BN119" s="51"/>
      <c r="BO119" s="51"/>
      <c r="BP119" s="51"/>
      <c r="BQ119" s="51"/>
      <c r="BR119" s="51"/>
      <c r="BS119" s="51"/>
      <c r="BT119" s="51"/>
      <c r="BU119" s="51"/>
      <c r="BV119" s="51"/>
      <c r="BW119" s="51"/>
      <c r="BX119" s="51"/>
      <c r="BY119" s="51"/>
      <c r="BZ119" s="51"/>
      <c r="CA119" s="51"/>
      <c r="CB119" s="51"/>
      <c r="CC119" s="51"/>
      <c r="CD119" s="51"/>
      <c r="CE119" s="51"/>
      <c r="CF119" s="51"/>
      <c r="CG119" s="51"/>
      <c r="CH119" s="51"/>
      <c r="CI119" s="51"/>
      <c r="CJ119" s="51"/>
      <c r="CK119" s="51"/>
      <c r="CL119" s="51"/>
      <c r="CM119" s="51"/>
      <c r="CN119" s="51"/>
      <c r="CO119" s="51"/>
      <c r="CP119" s="51"/>
      <c r="CQ119" s="51"/>
      <c r="CR119" s="51"/>
      <c r="CS119" s="51"/>
      <c r="CT119" s="42" t="str">
        <f>IFERROR(('基本数据输入&amp;测算结果'!$C$19*7-AVERAGE(B119:Y119,CP119:CS119)*7-'基本数据输入&amp;测算结果'!$C$23*7)/'基本数据输入&amp;测算结果'!$C$21*'基本数据输入&amp;测算结果'!$C$22,"无数据/数据缺失")</f>
        <v>无数据/数据缺失</v>
      </c>
      <c r="CU119" s="42">
        <f>IF(CT119&lt;0,0,IF(CT119="无数据/数据缺失",0%,IF(CT119&gt;'基本数据输入&amp;测算结果'!$C$20,100%,CT119/'基本数据输入&amp;测算结果'!$C$20)))</f>
        <v>0</v>
      </c>
      <c r="CV119" s="42" t="str">
        <f>IFERROR((AVERAGE(Z119:AG119)*2-'基本数据输入&amp;测算结果'!$C$24*2)/'基本数据输入&amp;测算结果'!$C$21/'基本数据输入&amp;测算结果'!$C$22,"无数据/数据缺失")</f>
        <v>无数据/数据缺失</v>
      </c>
      <c r="CW119" s="42">
        <f>IF(CV119&lt;0,0,IF(CV119="无数据/数据缺失",0%,IF(CV119&gt;'基本数据输入&amp;测算结果'!$C$20*CU119,CU119,CV119/'基本数据输入&amp;测算结果'!$C$20*CU119)))</f>
        <v>0</v>
      </c>
      <c r="CX119" s="42" t="str">
        <f>IFERROR(('基本数据输入&amp;测算结果'!$C$19*3-AVERAGE(AT119:BE119)*3-'基本数据输入&amp;测算结果'!$C$23*3)/'基本数据输入&amp;测算结果'!$C$21*'基本数据输入&amp;测算结果'!$C$22,"无数据/数据缺失")</f>
        <v>无数据/数据缺失</v>
      </c>
      <c r="CY119" s="42">
        <f>IF(CX119&lt;0,0,IF(CX119="无数据/数据缺失",0%,IF(CX119&gt;'基本数据输入&amp;测算结果'!$C$20,100%,CX119/'基本数据输入&amp;测算结果'!$C$20)))</f>
        <v>0</v>
      </c>
      <c r="CZ119" s="42" t="str">
        <f>IFERROR((AVERAGE(BN119:CK119)*6-'基本数据输入&amp;测算结果'!$C$24*6)/'基本数据输入&amp;测算结果'!$C$21/'基本数据输入&amp;测算结果'!$C$22,"无数据/数据缺失")</f>
        <v>无数据/数据缺失</v>
      </c>
      <c r="DA119" s="42">
        <f>IF(CZ119&lt;0,0,IF(CZ119="无数据/数据缺失",0,IF('基本数据输入&amp;测算结果'!$C$20*CY119&gt;CZ119,CZ119/'基本数据输入&amp;测算结果'!$C$20*CY119,CY119)))</f>
        <v>0</v>
      </c>
      <c r="DB119" s="49">
        <f t="shared" ref="DB119:DB153" si="8">MIN(CU119,CW119)+MIN(CY119,DA119)</f>
        <v>0</v>
      </c>
      <c r="DC119" s="50"/>
      <c r="DD119" s="50"/>
    </row>
    <row r="120" customHeight="1" spans="1:108">
      <c r="A120" s="52" t="s">
        <v>174</v>
      </c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  <c r="BI120" s="51"/>
      <c r="BJ120" s="51"/>
      <c r="BK120" s="51"/>
      <c r="BL120" s="51"/>
      <c r="BM120" s="51"/>
      <c r="BN120" s="51"/>
      <c r="BO120" s="51"/>
      <c r="BP120" s="51"/>
      <c r="BQ120" s="51"/>
      <c r="BR120" s="51"/>
      <c r="BS120" s="51"/>
      <c r="BT120" s="51"/>
      <c r="BU120" s="51"/>
      <c r="BV120" s="51"/>
      <c r="BW120" s="51"/>
      <c r="BX120" s="51"/>
      <c r="BY120" s="51"/>
      <c r="BZ120" s="51"/>
      <c r="CA120" s="51"/>
      <c r="CB120" s="51"/>
      <c r="CC120" s="51"/>
      <c r="CD120" s="51"/>
      <c r="CE120" s="51"/>
      <c r="CF120" s="51"/>
      <c r="CG120" s="51"/>
      <c r="CH120" s="51"/>
      <c r="CI120" s="51"/>
      <c r="CJ120" s="51"/>
      <c r="CK120" s="51"/>
      <c r="CL120" s="51"/>
      <c r="CM120" s="51"/>
      <c r="CN120" s="51"/>
      <c r="CO120" s="51"/>
      <c r="CP120" s="51"/>
      <c r="CQ120" s="51"/>
      <c r="CR120" s="51"/>
      <c r="CS120" s="51"/>
      <c r="CT120" s="42" t="str">
        <f>IFERROR(('基本数据输入&amp;测算结果'!$C$19*7-AVERAGE(B120:Y120,CP120:CS120)*7-'基本数据输入&amp;测算结果'!$C$23*7)/'基本数据输入&amp;测算结果'!$C$21*'基本数据输入&amp;测算结果'!$C$22,"无数据/数据缺失")</f>
        <v>无数据/数据缺失</v>
      </c>
      <c r="CU120" s="42">
        <f>IF(CT120&lt;0,0,IF(CT120="无数据/数据缺失",0%,IF(CT120&gt;'基本数据输入&amp;测算结果'!$C$20,100%,CT120/'基本数据输入&amp;测算结果'!$C$20)))</f>
        <v>0</v>
      </c>
      <c r="CV120" s="42" t="str">
        <f>IFERROR((AVERAGE(Z120:AG120)*2-'基本数据输入&amp;测算结果'!$C$24*2)/'基本数据输入&amp;测算结果'!$C$21/'基本数据输入&amp;测算结果'!$C$22,"无数据/数据缺失")</f>
        <v>无数据/数据缺失</v>
      </c>
      <c r="CW120" s="42">
        <f>IF(CV120&lt;0,0,IF(CV120="无数据/数据缺失",0%,IF(CV120&gt;'基本数据输入&amp;测算结果'!$C$20*CU120,CU120,CV120/'基本数据输入&amp;测算结果'!$C$20*CU120)))</f>
        <v>0</v>
      </c>
      <c r="CX120" s="42" t="str">
        <f>IFERROR(('基本数据输入&amp;测算结果'!$C$19*3-AVERAGE(AT120:BE120)*3-'基本数据输入&amp;测算结果'!$C$23*3)/'基本数据输入&amp;测算结果'!$C$21*'基本数据输入&amp;测算结果'!$C$22,"无数据/数据缺失")</f>
        <v>无数据/数据缺失</v>
      </c>
      <c r="CY120" s="42">
        <f>IF(CX120&lt;0,0,IF(CX120="无数据/数据缺失",0%,IF(CX120&gt;'基本数据输入&amp;测算结果'!$C$20,100%,CX120/'基本数据输入&amp;测算结果'!$C$20)))</f>
        <v>0</v>
      </c>
      <c r="CZ120" s="42" t="str">
        <f>IFERROR((AVERAGE(BN120:CK120)*6-'基本数据输入&amp;测算结果'!$C$24*6)/'基本数据输入&amp;测算结果'!$C$21/'基本数据输入&amp;测算结果'!$C$22,"无数据/数据缺失")</f>
        <v>无数据/数据缺失</v>
      </c>
      <c r="DA120" s="42">
        <f>IF(CZ120&lt;0,0,IF(CZ120="无数据/数据缺失",0,IF('基本数据输入&amp;测算结果'!$C$20*CY120&gt;CZ120,CZ120/'基本数据输入&amp;测算结果'!$C$20*CY120,CY120)))</f>
        <v>0</v>
      </c>
      <c r="DB120" s="49">
        <f t="shared" si="8"/>
        <v>0</v>
      </c>
      <c r="DC120" s="50"/>
      <c r="DD120" s="50"/>
    </row>
    <row r="121" s="42" customFormat="1" customHeight="1" spans="1:108">
      <c r="A121" s="52" t="s">
        <v>175</v>
      </c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BK121" s="51"/>
      <c r="BL121" s="51"/>
      <c r="BM121" s="51"/>
      <c r="BN121" s="51"/>
      <c r="BO121" s="51"/>
      <c r="BP121" s="51"/>
      <c r="BQ121" s="51"/>
      <c r="BR121" s="51"/>
      <c r="BS121" s="51"/>
      <c r="BT121" s="51"/>
      <c r="BU121" s="51"/>
      <c r="BV121" s="51"/>
      <c r="BW121" s="51"/>
      <c r="BX121" s="51"/>
      <c r="BY121" s="51"/>
      <c r="BZ121" s="51"/>
      <c r="CA121" s="51"/>
      <c r="CB121" s="51"/>
      <c r="CC121" s="51"/>
      <c r="CD121" s="51"/>
      <c r="CE121" s="51"/>
      <c r="CF121" s="51"/>
      <c r="CG121" s="51"/>
      <c r="CH121" s="51"/>
      <c r="CI121" s="51"/>
      <c r="CJ121" s="51"/>
      <c r="CK121" s="51"/>
      <c r="CL121" s="51"/>
      <c r="CM121" s="51"/>
      <c r="CN121" s="51"/>
      <c r="CO121" s="51"/>
      <c r="CP121" s="51"/>
      <c r="CQ121" s="51"/>
      <c r="CR121" s="51"/>
      <c r="CS121" s="51"/>
      <c r="CT121" s="42" t="str">
        <f>IFERROR(('基本数据输入&amp;测算结果'!$C$19*7-AVERAGE(B121:Y121,CP121:CS121)*7-'基本数据输入&amp;测算结果'!$C$23*7)/'基本数据输入&amp;测算结果'!$C$21*'基本数据输入&amp;测算结果'!$C$22,"无数据/数据缺失")</f>
        <v>无数据/数据缺失</v>
      </c>
      <c r="CU121" s="42">
        <f>IF(CT121&lt;0,0,IF(CT121="无数据/数据缺失",0%,IF(CT121&gt;'基本数据输入&amp;测算结果'!$C$20,100%,CT121/'基本数据输入&amp;测算结果'!$C$20)))</f>
        <v>0</v>
      </c>
      <c r="CV121" s="42" t="str">
        <f>IFERROR((AVERAGE(Z121:AG121)*2-'基本数据输入&amp;测算结果'!$C$24*2)/'基本数据输入&amp;测算结果'!$C$21/'基本数据输入&amp;测算结果'!$C$22,"无数据/数据缺失")</f>
        <v>无数据/数据缺失</v>
      </c>
      <c r="CW121" s="42">
        <f>IF(CV121&lt;0,0,IF(CV121="无数据/数据缺失",0%,IF(CV121&gt;'基本数据输入&amp;测算结果'!$C$20*CU121,CU121,CV121/'基本数据输入&amp;测算结果'!$C$20*CU121)))</f>
        <v>0</v>
      </c>
      <c r="CX121" s="42" t="str">
        <f>IFERROR(('基本数据输入&amp;测算结果'!$C$19*3-AVERAGE(AT121:BE121)*3-'基本数据输入&amp;测算结果'!$C$23*3)/'基本数据输入&amp;测算结果'!$C$21*'基本数据输入&amp;测算结果'!$C$22,"无数据/数据缺失")</f>
        <v>无数据/数据缺失</v>
      </c>
      <c r="CY121" s="42">
        <f>IF(CX121&lt;0,0,IF(CX121="无数据/数据缺失",0%,IF(CX121&gt;'基本数据输入&amp;测算结果'!$C$20,100%,CX121/'基本数据输入&amp;测算结果'!$C$20)))</f>
        <v>0</v>
      </c>
      <c r="CZ121" s="42" t="str">
        <f>IFERROR((AVERAGE(BN121:CK121)*6-'基本数据输入&amp;测算结果'!$C$24*6)/'基本数据输入&amp;测算结果'!$C$21/'基本数据输入&amp;测算结果'!$C$22,"无数据/数据缺失")</f>
        <v>无数据/数据缺失</v>
      </c>
      <c r="DA121" s="42">
        <f>IF(CZ121&lt;0,0,IF(CZ121="无数据/数据缺失",0,IF('基本数据输入&amp;测算结果'!$C$20*CY121&gt;CZ121,CZ121/'基本数据输入&amp;测算结果'!$C$20*CY121,CY121)))</f>
        <v>0</v>
      </c>
      <c r="DB121" s="49">
        <f t="shared" si="8"/>
        <v>0</v>
      </c>
      <c r="DC121" s="50"/>
      <c r="DD121" s="50"/>
    </row>
    <row r="122" customHeight="1" spans="1:108">
      <c r="A122" s="52" t="s">
        <v>176</v>
      </c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1"/>
      <c r="BJ122" s="51"/>
      <c r="BK122" s="51"/>
      <c r="BL122" s="51"/>
      <c r="BM122" s="51"/>
      <c r="BN122" s="51"/>
      <c r="BO122" s="51"/>
      <c r="BP122" s="51"/>
      <c r="BQ122" s="51"/>
      <c r="BR122" s="51"/>
      <c r="BS122" s="51"/>
      <c r="BT122" s="51"/>
      <c r="BU122" s="51"/>
      <c r="BV122" s="51"/>
      <c r="BW122" s="51"/>
      <c r="BX122" s="51"/>
      <c r="BY122" s="51"/>
      <c r="BZ122" s="51"/>
      <c r="CA122" s="51"/>
      <c r="CB122" s="51"/>
      <c r="CC122" s="51"/>
      <c r="CD122" s="51"/>
      <c r="CE122" s="51"/>
      <c r="CF122" s="51"/>
      <c r="CG122" s="51"/>
      <c r="CH122" s="51"/>
      <c r="CI122" s="51"/>
      <c r="CJ122" s="51"/>
      <c r="CK122" s="51"/>
      <c r="CL122" s="51"/>
      <c r="CM122" s="51"/>
      <c r="CN122" s="51"/>
      <c r="CO122" s="51"/>
      <c r="CP122" s="51"/>
      <c r="CQ122" s="51"/>
      <c r="CR122" s="51"/>
      <c r="CS122" s="51"/>
      <c r="CT122" s="42" t="str">
        <f>IFERROR(('基本数据输入&amp;测算结果'!$C$19*7-AVERAGE(B122:Y122,CP122:CS122)*7-'基本数据输入&amp;测算结果'!$C$23*7)/'基本数据输入&amp;测算结果'!$C$21*'基本数据输入&amp;测算结果'!$C$22,"无数据/数据缺失")</f>
        <v>无数据/数据缺失</v>
      </c>
      <c r="CU122" s="42">
        <f>IF(CT122&lt;0,0,IF(CT122="无数据/数据缺失",0%,IF(CT122&gt;'基本数据输入&amp;测算结果'!$C$20,100%,CT122/'基本数据输入&amp;测算结果'!$C$20)))</f>
        <v>0</v>
      </c>
      <c r="CV122" s="42" t="str">
        <f>IFERROR((AVERAGE(Z122:AG122)*2-'基本数据输入&amp;测算结果'!$C$24*2)/'基本数据输入&amp;测算结果'!$C$21/'基本数据输入&amp;测算结果'!$C$22,"无数据/数据缺失")</f>
        <v>无数据/数据缺失</v>
      </c>
      <c r="CW122" s="42">
        <f>IF(CV122&lt;0,0,IF(CV122="无数据/数据缺失",0%,IF(CV122&gt;'基本数据输入&amp;测算结果'!$C$20*CU122,CU122,CV122/'基本数据输入&amp;测算结果'!$C$20*CU122)))</f>
        <v>0</v>
      </c>
      <c r="CX122" s="42" t="str">
        <f>IFERROR(('基本数据输入&amp;测算结果'!$C$19*3-AVERAGE(AT122:BE122)*3-'基本数据输入&amp;测算结果'!$C$23*3)/'基本数据输入&amp;测算结果'!$C$21*'基本数据输入&amp;测算结果'!$C$22,"无数据/数据缺失")</f>
        <v>无数据/数据缺失</v>
      </c>
      <c r="CY122" s="42">
        <f>IF(CX122&lt;0,0,IF(CX122="无数据/数据缺失",0%,IF(CX122&gt;'基本数据输入&amp;测算结果'!$C$20,100%,CX122/'基本数据输入&amp;测算结果'!$C$20)))</f>
        <v>0</v>
      </c>
      <c r="CZ122" s="42" t="str">
        <f>IFERROR((AVERAGE(BN122:CK122)*6-'基本数据输入&amp;测算结果'!$C$24*6)/'基本数据输入&amp;测算结果'!$C$21/'基本数据输入&amp;测算结果'!$C$22,"无数据/数据缺失")</f>
        <v>无数据/数据缺失</v>
      </c>
      <c r="DA122" s="42">
        <f>IF(CZ122&lt;0,0,IF(CZ122="无数据/数据缺失",0,IF('基本数据输入&amp;测算结果'!$C$20*CY122&gt;CZ122,CZ122/'基本数据输入&amp;测算结果'!$C$20*CY122,CY122)))</f>
        <v>0</v>
      </c>
      <c r="DB122" s="49">
        <f t="shared" si="8"/>
        <v>0</v>
      </c>
      <c r="DC122" s="50"/>
      <c r="DD122" s="50"/>
    </row>
    <row r="123" customHeight="1" spans="1:108">
      <c r="A123" s="52" t="s">
        <v>177</v>
      </c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1"/>
      <c r="BI123" s="51"/>
      <c r="BJ123" s="51"/>
      <c r="BK123" s="51"/>
      <c r="BL123" s="51"/>
      <c r="BM123" s="51"/>
      <c r="BN123" s="51"/>
      <c r="BO123" s="51"/>
      <c r="BP123" s="51"/>
      <c r="BQ123" s="51"/>
      <c r="BR123" s="51"/>
      <c r="BS123" s="51"/>
      <c r="BT123" s="51"/>
      <c r="BU123" s="51"/>
      <c r="BV123" s="51"/>
      <c r="BW123" s="51"/>
      <c r="BX123" s="51"/>
      <c r="BY123" s="51"/>
      <c r="BZ123" s="51"/>
      <c r="CA123" s="51"/>
      <c r="CB123" s="51"/>
      <c r="CC123" s="51"/>
      <c r="CD123" s="51"/>
      <c r="CE123" s="51"/>
      <c r="CF123" s="51"/>
      <c r="CG123" s="51"/>
      <c r="CH123" s="51"/>
      <c r="CI123" s="51"/>
      <c r="CJ123" s="51"/>
      <c r="CK123" s="51"/>
      <c r="CL123" s="51"/>
      <c r="CM123" s="51"/>
      <c r="CN123" s="51"/>
      <c r="CO123" s="51"/>
      <c r="CP123" s="51"/>
      <c r="CQ123" s="51"/>
      <c r="CR123" s="51"/>
      <c r="CS123" s="51"/>
      <c r="CT123" s="42" t="str">
        <f>IFERROR(('基本数据输入&amp;测算结果'!$C$19*7-AVERAGE(B123:Y123,CP123:CS123)*7-'基本数据输入&amp;测算结果'!$C$23*7)/'基本数据输入&amp;测算结果'!$C$21*'基本数据输入&amp;测算结果'!$C$22,"无数据/数据缺失")</f>
        <v>无数据/数据缺失</v>
      </c>
      <c r="CU123" s="42">
        <f>IF(CT123&lt;0,0,IF(CT123="无数据/数据缺失",0%,IF(CT123&gt;'基本数据输入&amp;测算结果'!$C$20,100%,CT123/'基本数据输入&amp;测算结果'!$C$20)))</f>
        <v>0</v>
      </c>
      <c r="CV123" s="42" t="str">
        <f>IFERROR((AVERAGE(Z123:AG123)*2-'基本数据输入&amp;测算结果'!$C$24*2)/'基本数据输入&amp;测算结果'!$C$21/'基本数据输入&amp;测算结果'!$C$22,"无数据/数据缺失")</f>
        <v>无数据/数据缺失</v>
      </c>
      <c r="CW123" s="42">
        <f>IF(CV123&lt;0,0,IF(CV123="无数据/数据缺失",0%,IF(CV123&gt;'基本数据输入&amp;测算结果'!$C$20*CU123,CU123,CV123/'基本数据输入&amp;测算结果'!$C$20*CU123)))</f>
        <v>0</v>
      </c>
      <c r="CX123" s="42" t="str">
        <f>IFERROR(('基本数据输入&amp;测算结果'!$C$19*3-AVERAGE(AT123:BE123)*3-'基本数据输入&amp;测算结果'!$C$23*3)/'基本数据输入&amp;测算结果'!$C$21*'基本数据输入&amp;测算结果'!$C$22,"无数据/数据缺失")</f>
        <v>无数据/数据缺失</v>
      </c>
      <c r="CY123" s="42">
        <f>IF(CX123&lt;0,0,IF(CX123="无数据/数据缺失",0%,IF(CX123&gt;'基本数据输入&amp;测算结果'!$C$20,100%,CX123/'基本数据输入&amp;测算结果'!$C$20)))</f>
        <v>0</v>
      </c>
      <c r="CZ123" s="42" t="str">
        <f>IFERROR((AVERAGE(BN123:CK123)*6-'基本数据输入&amp;测算结果'!$C$24*6)/'基本数据输入&amp;测算结果'!$C$21/'基本数据输入&amp;测算结果'!$C$22,"无数据/数据缺失")</f>
        <v>无数据/数据缺失</v>
      </c>
      <c r="DA123" s="42">
        <f>IF(CZ123&lt;0,0,IF(CZ123="无数据/数据缺失",0,IF('基本数据输入&amp;测算结果'!$C$20*CY123&gt;CZ123,CZ123/'基本数据输入&amp;测算结果'!$C$20*CY123,CY123)))</f>
        <v>0</v>
      </c>
      <c r="DB123" s="49">
        <f t="shared" si="8"/>
        <v>0</v>
      </c>
      <c r="DC123" s="50"/>
      <c r="DD123" s="50"/>
    </row>
    <row r="124" customHeight="1" spans="1:108">
      <c r="A124" s="52" t="s">
        <v>178</v>
      </c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1"/>
      <c r="BI124" s="51"/>
      <c r="BJ124" s="51"/>
      <c r="BK124" s="51"/>
      <c r="BL124" s="51"/>
      <c r="BM124" s="51"/>
      <c r="BN124" s="51"/>
      <c r="BO124" s="51"/>
      <c r="BP124" s="51"/>
      <c r="BQ124" s="51"/>
      <c r="BR124" s="51"/>
      <c r="BS124" s="51"/>
      <c r="BT124" s="51"/>
      <c r="BU124" s="51"/>
      <c r="BV124" s="51"/>
      <c r="BW124" s="51"/>
      <c r="BX124" s="51"/>
      <c r="BY124" s="51"/>
      <c r="BZ124" s="51"/>
      <c r="CA124" s="51"/>
      <c r="CB124" s="51"/>
      <c r="CC124" s="51"/>
      <c r="CD124" s="51"/>
      <c r="CE124" s="51"/>
      <c r="CF124" s="51"/>
      <c r="CG124" s="51"/>
      <c r="CH124" s="51"/>
      <c r="CI124" s="51"/>
      <c r="CJ124" s="51"/>
      <c r="CK124" s="51"/>
      <c r="CL124" s="51"/>
      <c r="CM124" s="51"/>
      <c r="CN124" s="51"/>
      <c r="CO124" s="51"/>
      <c r="CP124" s="51"/>
      <c r="CQ124" s="51"/>
      <c r="CR124" s="51"/>
      <c r="CS124" s="51"/>
      <c r="CT124" s="42" t="str">
        <f>IFERROR(('基本数据输入&amp;测算结果'!$C$19*7-AVERAGE(B124:Y124,CP124:CS124)*7-'基本数据输入&amp;测算结果'!$C$23*7)/'基本数据输入&amp;测算结果'!$C$21*'基本数据输入&amp;测算结果'!$C$22,"无数据/数据缺失")</f>
        <v>无数据/数据缺失</v>
      </c>
      <c r="CU124" s="42">
        <f>IF(CT124&lt;0,0,IF(CT124="无数据/数据缺失",0%,IF(CT124&gt;'基本数据输入&amp;测算结果'!$C$20,100%,CT124/'基本数据输入&amp;测算结果'!$C$20)))</f>
        <v>0</v>
      </c>
      <c r="CV124" s="42" t="str">
        <f>IFERROR((AVERAGE(Z124:AG124)*2-'基本数据输入&amp;测算结果'!$C$24*2)/'基本数据输入&amp;测算结果'!$C$21/'基本数据输入&amp;测算结果'!$C$22,"无数据/数据缺失")</f>
        <v>无数据/数据缺失</v>
      </c>
      <c r="CW124" s="42">
        <f>IF(CV124&lt;0,0,IF(CV124="无数据/数据缺失",0%,IF(CV124&gt;'基本数据输入&amp;测算结果'!$C$20*CU124,CU124,CV124/'基本数据输入&amp;测算结果'!$C$20*CU124)))</f>
        <v>0</v>
      </c>
      <c r="CX124" s="42" t="str">
        <f>IFERROR(('基本数据输入&amp;测算结果'!$C$19*3-AVERAGE(AT124:BE124)*3-'基本数据输入&amp;测算结果'!$C$23*3)/'基本数据输入&amp;测算结果'!$C$21*'基本数据输入&amp;测算结果'!$C$22,"无数据/数据缺失")</f>
        <v>无数据/数据缺失</v>
      </c>
      <c r="CY124" s="42">
        <f>IF(CX124&lt;0,0,IF(CX124="无数据/数据缺失",0%,IF(CX124&gt;'基本数据输入&amp;测算结果'!$C$20,100%,CX124/'基本数据输入&amp;测算结果'!$C$20)))</f>
        <v>0</v>
      </c>
      <c r="CZ124" s="42" t="str">
        <f>IFERROR((AVERAGE(BN124:CK124)*6-'基本数据输入&amp;测算结果'!$C$24*6)/'基本数据输入&amp;测算结果'!$C$21/'基本数据输入&amp;测算结果'!$C$22,"无数据/数据缺失")</f>
        <v>无数据/数据缺失</v>
      </c>
      <c r="DA124" s="42">
        <f>IF(CZ124&lt;0,0,IF(CZ124="无数据/数据缺失",0,IF('基本数据输入&amp;测算结果'!$C$20*CY124&gt;CZ124,CZ124/'基本数据输入&amp;测算结果'!$C$20*CY124,CY124)))</f>
        <v>0</v>
      </c>
      <c r="DB124" s="49">
        <f t="shared" si="8"/>
        <v>0</v>
      </c>
      <c r="DC124" s="50"/>
      <c r="DD124" s="50"/>
    </row>
    <row r="125" customHeight="1" spans="1:108">
      <c r="A125" s="52" t="s">
        <v>179</v>
      </c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1"/>
      <c r="BI125" s="51"/>
      <c r="BJ125" s="51"/>
      <c r="BK125" s="51"/>
      <c r="BL125" s="51"/>
      <c r="BM125" s="51"/>
      <c r="BN125" s="51"/>
      <c r="BO125" s="51"/>
      <c r="BP125" s="51"/>
      <c r="BQ125" s="51"/>
      <c r="BR125" s="51"/>
      <c r="BS125" s="51"/>
      <c r="BT125" s="51"/>
      <c r="BU125" s="51"/>
      <c r="BV125" s="51"/>
      <c r="BW125" s="51"/>
      <c r="BX125" s="51"/>
      <c r="BY125" s="51"/>
      <c r="BZ125" s="51"/>
      <c r="CA125" s="51"/>
      <c r="CB125" s="51"/>
      <c r="CC125" s="51"/>
      <c r="CD125" s="51"/>
      <c r="CE125" s="51"/>
      <c r="CF125" s="51"/>
      <c r="CG125" s="51"/>
      <c r="CH125" s="51"/>
      <c r="CI125" s="51"/>
      <c r="CJ125" s="51"/>
      <c r="CK125" s="51"/>
      <c r="CL125" s="51"/>
      <c r="CM125" s="51"/>
      <c r="CN125" s="51"/>
      <c r="CO125" s="51"/>
      <c r="CP125" s="51"/>
      <c r="CQ125" s="51"/>
      <c r="CR125" s="51"/>
      <c r="CS125" s="51"/>
      <c r="CT125" s="42" t="str">
        <f>IFERROR(('基本数据输入&amp;测算结果'!$C$19*7-AVERAGE(B125:Y125,CP125:CS125)*7-'基本数据输入&amp;测算结果'!$C$23*7)/'基本数据输入&amp;测算结果'!$C$21*'基本数据输入&amp;测算结果'!$C$22,"无数据/数据缺失")</f>
        <v>无数据/数据缺失</v>
      </c>
      <c r="CU125" s="42">
        <f>IF(CT125&lt;0,0,IF(CT125="无数据/数据缺失",0%,IF(CT125&gt;'基本数据输入&amp;测算结果'!$C$20,100%,CT125/'基本数据输入&amp;测算结果'!$C$20)))</f>
        <v>0</v>
      </c>
      <c r="CV125" s="42" t="str">
        <f>IFERROR((AVERAGE(Z125:AG125)*2-'基本数据输入&amp;测算结果'!$C$24*2)/'基本数据输入&amp;测算结果'!$C$21/'基本数据输入&amp;测算结果'!$C$22,"无数据/数据缺失")</f>
        <v>无数据/数据缺失</v>
      </c>
      <c r="CW125" s="42">
        <f>IF(CV125&lt;0,0,IF(CV125="无数据/数据缺失",0%,IF(CV125&gt;'基本数据输入&amp;测算结果'!$C$20*CU125,CU125,CV125/'基本数据输入&amp;测算结果'!$C$20*CU125)))</f>
        <v>0</v>
      </c>
      <c r="CX125" s="42" t="str">
        <f>IFERROR(('基本数据输入&amp;测算结果'!$C$19*3-AVERAGE(AT125:BE125)*3-'基本数据输入&amp;测算结果'!$C$23*3)/'基本数据输入&amp;测算结果'!$C$21*'基本数据输入&amp;测算结果'!$C$22,"无数据/数据缺失")</f>
        <v>无数据/数据缺失</v>
      </c>
      <c r="CY125" s="42">
        <f>IF(CX125&lt;0,0,IF(CX125="无数据/数据缺失",0%,IF(CX125&gt;'基本数据输入&amp;测算结果'!$C$20,100%,CX125/'基本数据输入&amp;测算结果'!$C$20)))</f>
        <v>0</v>
      </c>
      <c r="CZ125" s="42" t="str">
        <f>IFERROR((AVERAGE(BN125:CK125)*6-'基本数据输入&amp;测算结果'!$C$24*6)/'基本数据输入&amp;测算结果'!$C$21/'基本数据输入&amp;测算结果'!$C$22,"无数据/数据缺失")</f>
        <v>无数据/数据缺失</v>
      </c>
      <c r="DA125" s="42">
        <f>IF(CZ125&lt;0,0,IF(CZ125="无数据/数据缺失",0,IF('基本数据输入&amp;测算结果'!$C$20*CY125&gt;CZ125,CZ125/'基本数据输入&amp;测算结果'!$C$20*CY125,CY125)))</f>
        <v>0</v>
      </c>
      <c r="DB125" s="49">
        <f t="shared" si="8"/>
        <v>0</v>
      </c>
      <c r="DC125" s="50"/>
      <c r="DD125" s="50"/>
    </row>
    <row r="126" customHeight="1" spans="1:108">
      <c r="A126" s="52" t="s">
        <v>180</v>
      </c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1"/>
      <c r="BJ126" s="51"/>
      <c r="BK126" s="51"/>
      <c r="BL126" s="51"/>
      <c r="BM126" s="51"/>
      <c r="BN126" s="51"/>
      <c r="BO126" s="51"/>
      <c r="BP126" s="51"/>
      <c r="BQ126" s="51"/>
      <c r="BR126" s="51"/>
      <c r="BS126" s="51"/>
      <c r="BT126" s="51"/>
      <c r="BU126" s="51"/>
      <c r="BV126" s="51"/>
      <c r="BW126" s="51"/>
      <c r="BX126" s="51"/>
      <c r="BY126" s="51"/>
      <c r="BZ126" s="51"/>
      <c r="CA126" s="51"/>
      <c r="CB126" s="51"/>
      <c r="CC126" s="51"/>
      <c r="CD126" s="51"/>
      <c r="CE126" s="51"/>
      <c r="CF126" s="51"/>
      <c r="CG126" s="51"/>
      <c r="CH126" s="51"/>
      <c r="CI126" s="51"/>
      <c r="CJ126" s="51"/>
      <c r="CK126" s="51"/>
      <c r="CL126" s="51"/>
      <c r="CM126" s="51"/>
      <c r="CN126" s="51"/>
      <c r="CO126" s="51"/>
      <c r="CP126" s="51"/>
      <c r="CQ126" s="51"/>
      <c r="CR126" s="51"/>
      <c r="CS126" s="51"/>
      <c r="CT126" s="42" t="str">
        <f>IFERROR(('基本数据输入&amp;测算结果'!$C$19*7-AVERAGE(B126:Y126,CP126:CS126)*7-'基本数据输入&amp;测算结果'!$C$23*7)/'基本数据输入&amp;测算结果'!$C$21*'基本数据输入&amp;测算结果'!$C$22,"无数据/数据缺失")</f>
        <v>无数据/数据缺失</v>
      </c>
      <c r="CU126" s="42">
        <f>IF(CT126&lt;0,0,IF(CT126="无数据/数据缺失",0%,IF(CT126&gt;'基本数据输入&amp;测算结果'!$C$20,100%,CT126/'基本数据输入&amp;测算结果'!$C$20)))</f>
        <v>0</v>
      </c>
      <c r="CV126" s="42" t="str">
        <f>IFERROR((AVERAGE(Z126:AG126)*2-'基本数据输入&amp;测算结果'!$C$24*2)/'基本数据输入&amp;测算结果'!$C$21/'基本数据输入&amp;测算结果'!$C$22,"无数据/数据缺失")</f>
        <v>无数据/数据缺失</v>
      </c>
      <c r="CW126" s="42">
        <f>IF(CV126&lt;0,0,IF(CV126="无数据/数据缺失",0%,IF(CV126&gt;'基本数据输入&amp;测算结果'!$C$20*CU126,CU126,CV126/'基本数据输入&amp;测算结果'!$C$20*CU126)))</f>
        <v>0</v>
      </c>
      <c r="CX126" s="42" t="str">
        <f>IFERROR(('基本数据输入&amp;测算结果'!$C$19*3-AVERAGE(AT126:BE126)*3-'基本数据输入&amp;测算结果'!$C$23*3)/'基本数据输入&amp;测算结果'!$C$21*'基本数据输入&amp;测算结果'!$C$22,"无数据/数据缺失")</f>
        <v>无数据/数据缺失</v>
      </c>
      <c r="CY126" s="42">
        <f>IF(CX126&lt;0,0,IF(CX126="无数据/数据缺失",0%,IF(CX126&gt;'基本数据输入&amp;测算结果'!$C$20,100%,CX126/'基本数据输入&amp;测算结果'!$C$20)))</f>
        <v>0</v>
      </c>
      <c r="CZ126" s="42" t="str">
        <f>IFERROR((AVERAGE(BN126:CK126)*6-'基本数据输入&amp;测算结果'!$C$24*6)/'基本数据输入&amp;测算结果'!$C$21/'基本数据输入&amp;测算结果'!$C$22,"无数据/数据缺失")</f>
        <v>无数据/数据缺失</v>
      </c>
      <c r="DA126" s="42">
        <f>IF(CZ126&lt;0,0,IF(CZ126="无数据/数据缺失",0,IF('基本数据输入&amp;测算结果'!$C$20*CY126&gt;CZ126,CZ126/'基本数据输入&amp;测算结果'!$C$20*CY126,CY126)))</f>
        <v>0</v>
      </c>
      <c r="DB126" s="49">
        <f t="shared" si="8"/>
        <v>0</v>
      </c>
      <c r="DC126" s="50"/>
      <c r="DD126" s="50"/>
    </row>
    <row r="127" customHeight="1" spans="1:108">
      <c r="A127" s="52" t="s">
        <v>181</v>
      </c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  <c r="BD127" s="51"/>
      <c r="BE127" s="51"/>
      <c r="BF127" s="51"/>
      <c r="BG127" s="51"/>
      <c r="BH127" s="51"/>
      <c r="BI127" s="51"/>
      <c r="BJ127" s="51"/>
      <c r="BK127" s="51"/>
      <c r="BL127" s="51"/>
      <c r="BM127" s="51"/>
      <c r="BN127" s="51"/>
      <c r="BO127" s="51"/>
      <c r="BP127" s="51"/>
      <c r="BQ127" s="51"/>
      <c r="BR127" s="51"/>
      <c r="BS127" s="51"/>
      <c r="BT127" s="51"/>
      <c r="BU127" s="51"/>
      <c r="BV127" s="51"/>
      <c r="BW127" s="51"/>
      <c r="BX127" s="51"/>
      <c r="BY127" s="51"/>
      <c r="BZ127" s="51"/>
      <c r="CA127" s="51"/>
      <c r="CB127" s="51"/>
      <c r="CC127" s="51"/>
      <c r="CD127" s="51"/>
      <c r="CE127" s="51"/>
      <c r="CF127" s="51"/>
      <c r="CG127" s="51"/>
      <c r="CH127" s="51"/>
      <c r="CI127" s="51"/>
      <c r="CJ127" s="51"/>
      <c r="CK127" s="51"/>
      <c r="CL127" s="51"/>
      <c r="CM127" s="51"/>
      <c r="CN127" s="51"/>
      <c r="CO127" s="51"/>
      <c r="CP127" s="51"/>
      <c r="CQ127" s="51"/>
      <c r="CR127" s="51"/>
      <c r="CS127" s="51"/>
      <c r="CT127" s="42" t="str">
        <f>IFERROR(('基本数据输入&amp;测算结果'!$C$19*7-AVERAGE(B127:Y127,CP127:CS127)*7-'基本数据输入&amp;测算结果'!$C$23*7)/'基本数据输入&amp;测算结果'!$C$21*'基本数据输入&amp;测算结果'!$C$22,"无数据/数据缺失")</f>
        <v>无数据/数据缺失</v>
      </c>
      <c r="CU127" s="42">
        <f>IF(CT127&lt;0,0,IF(CT127="无数据/数据缺失",0%,IF(CT127&gt;'基本数据输入&amp;测算结果'!$C$20,100%,CT127/'基本数据输入&amp;测算结果'!$C$20)))</f>
        <v>0</v>
      </c>
      <c r="CV127" s="42" t="str">
        <f>IFERROR((AVERAGE(Z127:AG127)*2-'基本数据输入&amp;测算结果'!$C$24*2)/'基本数据输入&amp;测算结果'!$C$21/'基本数据输入&amp;测算结果'!$C$22,"无数据/数据缺失")</f>
        <v>无数据/数据缺失</v>
      </c>
      <c r="CW127" s="42">
        <f>IF(CV127&lt;0,0,IF(CV127="无数据/数据缺失",0%,IF(CV127&gt;'基本数据输入&amp;测算结果'!$C$20*CU127,CU127,CV127/'基本数据输入&amp;测算结果'!$C$20*CU127)))</f>
        <v>0</v>
      </c>
      <c r="CX127" s="42" t="str">
        <f>IFERROR(('基本数据输入&amp;测算结果'!$C$19*3-AVERAGE(AT127:BE127)*3-'基本数据输入&amp;测算结果'!$C$23*3)/'基本数据输入&amp;测算结果'!$C$21*'基本数据输入&amp;测算结果'!$C$22,"无数据/数据缺失")</f>
        <v>无数据/数据缺失</v>
      </c>
      <c r="CY127" s="42">
        <f>IF(CX127&lt;0,0,IF(CX127="无数据/数据缺失",0%,IF(CX127&gt;'基本数据输入&amp;测算结果'!$C$20,100%,CX127/'基本数据输入&amp;测算结果'!$C$20)))</f>
        <v>0</v>
      </c>
      <c r="CZ127" s="42" t="str">
        <f>IFERROR((AVERAGE(BN127:CK127)*6-'基本数据输入&amp;测算结果'!$C$24*6)/'基本数据输入&amp;测算结果'!$C$21/'基本数据输入&amp;测算结果'!$C$22,"无数据/数据缺失")</f>
        <v>无数据/数据缺失</v>
      </c>
      <c r="DA127" s="42">
        <f>IF(CZ127&lt;0,0,IF(CZ127="无数据/数据缺失",0,IF('基本数据输入&amp;测算结果'!$C$20*CY127&gt;CZ127,CZ127/'基本数据输入&amp;测算结果'!$C$20*CY127,CY127)))</f>
        <v>0</v>
      </c>
      <c r="DB127" s="49">
        <f t="shared" si="8"/>
        <v>0</v>
      </c>
      <c r="DC127" s="50"/>
      <c r="DD127" s="50"/>
    </row>
    <row r="128" customHeight="1" spans="1:108">
      <c r="A128" s="52" t="s">
        <v>182</v>
      </c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51"/>
      <c r="BC128" s="51"/>
      <c r="BD128" s="51"/>
      <c r="BE128" s="51"/>
      <c r="BF128" s="51"/>
      <c r="BG128" s="51"/>
      <c r="BH128" s="51"/>
      <c r="BI128" s="51"/>
      <c r="BJ128" s="51"/>
      <c r="BK128" s="51"/>
      <c r="BL128" s="51"/>
      <c r="BM128" s="51"/>
      <c r="BN128" s="51"/>
      <c r="BO128" s="51"/>
      <c r="BP128" s="51"/>
      <c r="BQ128" s="51"/>
      <c r="BR128" s="51"/>
      <c r="BS128" s="51"/>
      <c r="BT128" s="51"/>
      <c r="BU128" s="51"/>
      <c r="BV128" s="51"/>
      <c r="BW128" s="51"/>
      <c r="BX128" s="51"/>
      <c r="BY128" s="51"/>
      <c r="BZ128" s="51"/>
      <c r="CA128" s="51"/>
      <c r="CB128" s="51"/>
      <c r="CC128" s="51"/>
      <c r="CD128" s="51"/>
      <c r="CE128" s="51"/>
      <c r="CF128" s="51"/>
      <c r="CG128" s="51"/>
      <c r="CH128" s="51"/>
      <c r="CI128" s="51"/>
      <c r="CJ128" s="51"/>
      <c r="CK128" s="51"/>
      <c r="CL128" s="51"/>
      <c r="CM128" s="51"/>
      <c r="CN128" s="51"/>
      <c r="CO128" s="51"/>
      <c r="CP128" s="51"/>
      <c r="CQ128" s="51"/>
      <c r="CR128" s="51"/>
      <c r="CS128" s="51"/>
      <c r="CT128" s="42" t="str">
        <f>IFERROR(('基本数据输入&amp;测算结果'!$C$19*7-AVERAGE(B128:Y128,CP128:CS128)*7-'基本数据输入&amp;测算结果'!$C$23*7)/'基本数据输入&amp;测算结果'!$C$21*'基本数据输入&amp;测算结果'!$C$22,"无数据/数据缺失")</f>
        <v>无数据/数据缺失</v>
      </c>
      <c r="CU128" s="42">
        <f>IF(CT128&lt;0,0,IF(CT128="无数据/数据缺失",0%,IF(CT128&gt;'基本数据输入&amp;测算结果'!$C$20,100%,CT128/'基本数据输入&amp;测算结果'!$C$20)))</f>
        <v>0</v>
      </c>
      <c r="CV128" s="42" t="str">
        <f>IFERROR((AVERAGE(Z128:AG128)*2-'基本数据输入&amp;测算结果'!$C$24*2)/'基本数据输入&amp;测算结果'!$C$21/'基本数据输入&amp;测算结果'!$C$22,"无数据/数据缺失")</f>
        <v>无数据/数据缺失</v>
      </c>
      <c r="CW128" s="42">
        <f>IF(CV128&lt;0,0,IF(CV128="无数据/数据缺失",0%,IF(CV128&gt;'基本数据输入&amp;测算结果'!$C$20*CU128,CU128,CV128/'基本数据输入&amp;测算结果'!$C$20*CU128)))</f>
        <v>0</v>
      </c>
      <c r="CX128" s="42" t="str">
        <f>IFERROR(('基本数据输入&amp;测算结果'!$C$19*3-AVERAGE(AT128:BE128)*3-'基本数据输入&amp;测算结果'!$C$23*3)/'基本数据输入&amp;测算结果'!$C$21*'基本数据输入&amp;测算结果'!$C$22,"无数据/数据缺失")</f>
        <v>无数据/数据缺失</v>
      </c>
      <c r="CY128" s="42">
        <f>IF(CX128&lt;0,0,IF(CX128="无数据/数据缺失",0%,IF(CX128&gt;'基本数据输入&amp;测算结果'!$C$20,100%,CX128/'基本数据输入&amp;测算结果'!$C$20)))</f>
        <v>0</v>
      </c>
      <c r="CZ128" s="42" t="str">
        <f>IFERROR((AVERAGE(BN128:CK128)*6-'基本数据输入&amp;测算结果'!$C$24*6)/'基本数据输入&amp;测算结果'!$C$21/'基本数据输入&amp;测算结果'!$C$22,"无数据/数据缺失")</f>
        <v>无数据/数据缺失</v>
      </c>
      <c r="DA128" s="42">
        <f>IF(CZ128&lt;0,0,IF(CZ128="无数据/数据缺失",0,IF('基本数据输入&amp;测算结果'!$C$20*CY128&gt;CZ128,CZ128/'基本数据输入&amp;测算结果'!$C$20*CY128,CY128)))</f>
        <v>0</v>
      </c>
      <c r="DB128" s="49">
        <f t="shared" si="8"/>
        <v>0</v>
      </c>
      <c r="DC128" s="50"/>
      <c r="DD128" s="50"/>
    </row>
    <row r="129" customHeight="1" spans="1:108">
      <c r="A129" s="52" t="s">
        <v>183</v>
      </c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51"/>
      <c r="BC129" s="51"/>
      <c r="BD129" s="51"/>
      <c r="BE129" s="51"/>
      <c r="BF129" s="51"/>
      <c r="BG129" s="51"/>
      <c r="BH129" s="51"/>
      <c r="BI129" s="51"/>
      <c r="BJ129" s="51"/>
      <c r="BK129" s="51"/>
      <c r="BL129" s="51"/>
      <c r="BM129" s="51"/>
      <c r="BN129" s="51"/>
      <c r="BO129" s="51"/>
      <c r="BP129" s="51"/>
      <c r="BQ129" s="51"/>
      <c r="BR129" s="51"/>
      <c r="BS129" s="51"/>
      <c r="BT129" s="51"/>
      <c r="BU129" s="51"/>
      <c r="BV129" s="51"/>
      <c r="BW129" s="51"/>
      <c r="BX129" s="51"/>
      <c r="BY129" s="51"/>
      <c r="BZ129" s="51"/>
      <c r="CA129" s="51"/>
      <c r="CB129" s="51"/>
      <c r="CC129" s="51"/>
      <c r="CD129" s="51"/>
      <c r="CE129" s="51"/>
      <c r="CF129" s="51"/>
      <c r="CG129" s="51"/>
      <c r="CH129" s="51"/>
      <c r="CI129" s="51"/>
      <c r="CJ129" s="51"/>
      <c r="CK129" s="51"/>
      <c r="CL129" s="51"/>
      <c r="CM129" s="51"/>
      <c r="CN129" s="51"/>
      <c r="CO129" s="51"/>
      <c r="CP129" s="51"/>
      <c r="CQ129" s="51"/>
      <c r="CR129" s="51"/>
      <c r="CS129" s="51"/>
      <c r="CT129" s="42" t="str">
        <f>IFERROR(('基本数据输入&amp;测算结果'!$C$19*7-AVERAGE(B129:Y129,CP129:CS129)*7-'基本数据输入&amp;测算结果'!$C$23*7)/'基本数据输入&amp;测算结果'!$C$21*'基本数据输入&amp;测算结果'!$C$22,"无数据/数据缺失")</f>
        <v>无数据/数据缺失</v>
      </c>
      <c r="CU129" s="42">
        <f>IF(CT129&lt;0,0,IF(CT129="无数据/数据缺失",0%,IF(CT129&gt;'基本数据输入&amp;测算结果'!$C$20,100%,CT129/'基本数据输入&amp;测算结果'!$C$20)))</f>
        <v>0</v>
      </c>
      <c r="CV129" s="42" t="str">
        <f>IFERROR((AVERAGE(Z129:AG129)*2-'基本数据输入&amp;测算结果'!$C$24*2)/'基本数据输入&amp;测算结果'!$C$21/'基本数据输入&amp;测算结果'!$C$22,"无数据/数据缺失")</f>
        <v>无数据/数据缺失</v>
      </c>
      <c r="CW129" s="42">
        <f>IF(CV129&lt;0,0,IF(CV129="无数据/数据缺失",0%,IF(CV129&gt;'基本数据输入&amp;测算结果'!$C$20*CU129,CU129,CV129/'基本数据输入&amp;测算结果'!$C$20*CU129)))</f>
        <v>0</v>
      </c>
      <c r="CX129" s="42" t="str">
        <f>IFERROR(('基本数据输入&amp;测算结果'!$C$19*3-AVERAGE(AT129:BE129)*3-'基本数据输入&amp;测算结果'!$C$23*3)/'基本数据输入&amp;测算结果'!$C$21*'基本数据输入&amp;测算结果'!$C$22,"无数据/数据缺失")</f>
        <v>无数据/数据缺失</v>
      </c>
      <c r="CY129" s="42">
        <f>IF(CX129&lt;0,0,IF(CX129="无数据/数据缺失",0%,IF(CX129&gt;'基本数据输入&amp;测算结果'!$C$20,100%,CX129/'基本数据输入&amp;测算结果'!$C$20)))</f>
        <v>0</v>
      </c>
      <c r="CZ129" s="42" t="str">
        <f>IFERROR((AVERAGE(BN129:CK129)*6-'基本数据输入&amp;测算结果'!$C$24*6)/'基本数据输入&amp;测算结果'!$C$21/'基本数据输入&amp;测算结果'!$C$22,"无数据/数据缺失")</f>
        <v>无数据/数据缺失</v>
      </c>
      <c r="DA129" s="42">
        <f>IF(CZ129&lt;0,0,IF(CZ129="无数据/数据缺失",0,IF('基本数据输入&amp;测算结果'!$C$20*CY129&gt;CZ129,CZ129/'基本数据输入&amp;测算结果'!$C$20*CY129,CY129)))</f>
        <v>0</v>
      </c>
      <c r="DB129" s="49">
        <f t="shared" si="8"/>
        <v>0</v>
      </c>
      <c r="DC129" s="50"/>
      <c r="DD129" s="50"/>
    </row>
    <row r="130" customHeight="1" spans="1:108">
      <c r="A130" s="52" t="s">
        <v>184</v>
      </c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51"/>
      <c r="BD130" s="51"/>
      <c r="BE130" s="51"/>
      <c r="BF130" s="51"/>
      <c r="BG130" s="51"/>
      <c r="BH130" s="51"/>
      <c r="BI130" s="51"/>
      <c r="BJ130" s="51"/>
      <c r="BK130" s="51"/>
      <c r="BL130" s="51"/>
      <c r="BM130" s="51"/>
      <c r="BN130" s="51"/>
      <c r="BO130" s="51"/>
      <c r="BP130" s="51"/>
      <c r="BQ130" s="51"/>
      <c r="BR130" s="51"/>
      <c r="BS130" s="51"/>
      <c r="BT130" s="51"/>
      <c r="BU130" s="51"/>
      <c r="BV130" s="51"/>
      <c r="BW130" s="51"/>
      <c r="BX130" s="51"/>
      <c r="BY130" s="51"/>
      <c r="BZ130" s="51"/>
      <c r="CA130" s="51"/>
      <c r="CB130" s="51"/>
      <c r="CC130" s="51"/>
      <c r="CD130" s="51"/>
      <c r="CE130" s="51"/>
      <c r="CF130" s="51"/>
      <c r="CG130" s="51"/>
      <c r="CH130" s="51"/>
      <c r="CI130" s="51"/>
      <c r="CJ130" s="51"/>
      <c r="CK130" s="51"/>
      <c r="CL130" s="51"/>
      <c r="CM130" s="51"/>
      <c r="CN130" s="51"/>
      <c r="CO130" s="51"/>
      <c r="CP130" s="51"/>
      <c r="CQ130" s="51"/>
      <c r="CR130" s="51"/>
      <c r="CS130" s="51"/>
      <c r="CT130" s="42" t="str">
        <f>IFERROR(('基本数据输入&amp;测算结果'!$C$19*7-AVERAGE(B130:Y130,CP130:CS130)*7-'基本数据输入&amp;测算结果'!$C$23*7)/'基本数据输入&amp;测算结果'!$C$21*'基本数据输入&amp;测算结果'!$C$22,"无数据/数据缺失")</f>
        <v>无数据/数据缺失</v>
      </c>
      <c r="CU130" s="42">
        <f>IF(CT130&lt;0,0,IF(CT130="无数据/数据缺失",0%,IF(CT130&gt;'基本数据输入&amp;测算结果'!$C$20,100%,CT130/'基本数据输入&amp;测算结果'!$C$20)))</f>
        <v>0</v>
      </c>
      <c r="CV130" s="42" t="str">
        <f>IFERROR((AVERAGE(Z130:AG130)*2-'基本数据输入&amp;测算结果'!$C$24*2)/'基本数据输入&amp;测算结果'!$C$21/'基本数据输入&amp;测算结果'!$C$22,"无数据/数据缺失")</f>
        <v>无数据/数据缺失</v>
      </c>
      <c r="CW130" s="42">
        <f>IF(CV130&lt;0,0,IF(CV130="无数据/数据缺失",0%,IF(CV130&gt;'基本数据输入&amp;测算结果'!$C$20*CU130,CU130,CV130/'基本数据输入&amp;测算结果'!$C$20*CU130)))</f>
        <v>0</v>
      </c>
      <c r="CX130" s="42" t="str">
        <f>IFERROR(('基本数据输入&amp;测算结果'!$C$19*3-AVERAGE(AT130:BE130)*3-'基本数据输入&amp;测算结果'!$C$23*3)/'基本数据输入&amp;测算结果'!$C$21*'基本数据输入&amp;测算结果'!$C$22,"无数据/数据缺失")</f>
        <v>无数据/数据缺失</v>
      </c>
      <c r="CY130" s="42">
        <f>IF(CX130&lt;0,0,IF(CX130="无数据/数据缺失",0%,IF(CX130&gt;'基本数据输入&amp;测算结果'!$C$20,100%,CX130/'基本数据输入&amp;测算结果'!$C$20)))</f>
        <v>0</v>
      </c>
      <c r="CZ130" s="42" t="str">
        <f>IFERROR((AVERAGE(BN130:CK130)*6-'基本数据输入&amp;测算结果'!$C$24*6)/'基本数据输入&amp;测算结果'!$C$21/'基本数据输入&amp;测算结果'!$C$22,"无数据/数据缺失")</f>
        <v>无数据/数据缺失</v>
      </c>
      <c r="DA130" s="42">
        <f>IF(CZ130&lt;0,0,IF(CZ130="无数据/数据缺失",0,IF('基本数据输入&amp;测算结果'!$C$20*CY130&gt;CZ130,CZ130/'基本数据输入&amp;测算结果'!$C$20*CY130,CY130)))</f>
        <v>0</v>
      </c>
      <c r="DB130" s="49">
        <f t="shared" si="8"/>
        <v>0</v>
      </c>
      <c r="DC130" s="50"/>
      <c r="DD130" s="50"/>
    </row>
    <row r="131" customHeight="1" spans="1:108">
      <c r="A131" s="52" t="s">
        <v>185</v>
      </c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51"/>
      <c r="BD131" s="51"/>
      <c r="BE131" s="51"/>
      <c r="BF131" s="51"/>
      <c r="BG131" s="51"/>
      <c r="BH131" s="51"/>
      <c r="BI131" s="51"/>
      <c r="BJ131" s="51"/>
      <c r="BK131" s="51"/>
      <c r="BL131" s="51"/>
      <c r="BM131" s="51"/>
      <c r="BN131" s="51"/>
      <c r="BO131" s="51"/>
      <c r="BP131" s="51"/>
      <c r="BQ131" s="51"/>
      <c r="BR131" s="51"/>
      <c r="BS131" s="51"/>
      <c r="BT131" s="51"/>
      <c r="BU131" s="51"/>
      <c r="BV131" s="51"/>
      <c r="BW131" s="51"/>
      <c r="BX131" s="51"/>
      <c r="BY131" s="51"/>
      <c r="BZ131" s="51"/>
      <c r="CA131" s="51"/>
      <c r="CB131" s="51"/>
      <c r="CC131" s="51"/>
      <c r="CD131" s="51"/>
      <c r="CE131" s="51"/>
      <c r="CF131" s="51"/>
      <c r="CG131" s="51"/>
      <c r="CH131" s="51"/>
      <c r="CI131" s="51"/>
      <c r="CJ131" s="51"/>
      <c r="CK131" s="51"/>
      <c r="CL131" s="51"/>
      <c r="CM131" s="51"/>
      <c r="CN131" s="51"/>
      <c r="CO131" s="51"/>
      <c r="CP131" s="51"/>
      <c r="CQ131" s="51"/>
      <c r="CR131" s="51"/>
      <c r="CS131" s="51"/>
      <c r="CT131" s="42" t="str">
        <f>IFERROR(('基本数据输入&amp;测算结果'!$C$19*7-AVERAGE(B131:Y131,CP131:CS131)*7-'基本数据输入&amp;测算结果'!$C$23*7)/'基本数据输入&amp;测算结果'!$C$21*'基本数据输入&amp;测算结果'!$C$22,"无数据/数据缺失")</f>
        <v>无数据/数据缺失</v>
      </c>
      <c r="CU131" s="42">
        <f>IF(CT131&lt;0,0,IF(CT131="无数据/数据缺失",0%,IF(CT131&gt;'基本数据输入&amp;测算结果'!$C$20,100%,CT131/'基本数据输入&amp;测算结果'!$C$20)))</f>
        <v>0</v>
      </c>
      <c r="CV131" s="42" t="str">
        <f>IFERROR((AVERAGE(Z131:AG131)*2-'基本数据输入&amp;测算结果'!$C$24*2)/'基本数据输入&amp;测算结果'!$C$21/'基本数据输入&amp;测算结果'!$C$22,"无数据/数据缺失")</f>
        <v>无数据/数据缺失</v>
      </c>
      <c r="CW131" s="42">
        <f>IF(CV131&lt;0,0,IF(CV131="无数据/数据缺失",0%,IF(CV131&gt;'基本数据输入&amp;测算结果'!$C$20*CU131,CU131,CV131/'基本数据输入&amp;测算结果'!$C$20*CU131)))</f>
        <v>0</v>
      </c>
      <c r="CX131" s="42" t="str">
        <f>IFERROR(('基本数据输入&amp;测算结果'!$C$19*3-AVERAGE(AT131:BE131)*3-'基本数据输入&amp;测算结果'!$C$23*3)/'基本数据输入&amp;测算结果'!$C$21*'基本数据输入&amp;测算结果'!$C$22,"无数据/数据缺失")</f>
        <v>无数据/数据缺失</v>
      </c>
      <c r="CY131" s="42">
        <f>IF(CX131&lt;0,0,IF(CX131="无数据/数据缺失",0%,IF(CX131&gt;'基本数据输入&amp;测算结果'!$C$20,100%,CX131/'基本数据输入&amp;测算结果'!$C$20)))</f>
        <v>0</v>
      </c>
      <c r="CZ131" s="42" t="str">
        <f>IFERROR((AVERAGE(BN131:CK131)*6-'基本数据输入&amp;测算结果'!$C$24*6)/'基本数据输入&amp;测算结果'!$C$21/'基本数据输入&amp;测算结果'!$C$22,"无数据/数据缺失")</f>
        <v>无数据/数据缺失</v>
      </c>
      <c r="DA131" s="42">
        <f>IF(CZ131&lt;0,0,IF(CZ131="无数据/数据缺失",0,IF('基本数据输入&amp;测算结果'!$C$20*CY131&gt;CZ131,CZ131/'基本数据输入&amp;测算结果'!$C$20*CY131,CY131)))</f>
        <v>0</v>
      </c>
      <c r="DB131" s="49">
        <f t="shared" si="8"/>
        <v>0</v>
      </c>
      <c r="DC131" s="50"/>
      <c r="DD131" s="50"/>
    </row>
    <row r="132" customHeight="1" spans="1:108">
      <c r="A132" s="52" t="s">
        <v>186</v>
      </c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51"/>
      <c r="CJ132" s="51"/>
      <c r="CK132" s="51"/>
      <c r="CL132" s="51"/>
      <c r="CM132" s="51"/>
      <c r="CN132" s="51"/>
      <c r="CO132" s="51"/>
      <c r="CP132" s="51"/>
      <c r="CQ132" s="51"/>
      <c r="CR132" s="51"/>
      <c r="CS132" s="51"/>
      <c r="CT132" s="42" t="str">
        <f>IFERROR(('基本数据输入&amp;测算结果'!$C$19*7-AVERAGE(B132:Y132,CP132:CS132)*7-'基本数据输入&amp;测算结果'!$C$23*7)/'基本数据输入&amp;测算结果'!$C$21*'基本数据输入&amp;测算结果'!$C$22,"无数据/数据缺失")</f>
        <v>无数据/数据缺失</v>
      </c>
      <c r="CU132" s="42">
        <f>IF(CT132&lt;0,0,IF(CT132="无数据/数据缺失",0%,IF(CT132&gt;'基本数据输入&amp;测算结果'!$C$20,100%,CT132/'基本数据输入&amp;测算结果'!$C$20)))</f>
        <v>0</v>
      </c>
      <c r="CV132" s="42" t="str">
        <f>IFERROR((AVERAGE(Z132:AG132)*2-'基本数据输入&amp;测算结果'!$C$24*2)/'基本数据输入&amp;测算结果'!$C$21/'基本数据输入&amp;测算结果'!$C$22,"无数据/数据缺失")</f>
        <v>无数据/数据缺失</v>
      </c>
      <c r="CW132" s="42">
        <f>IF(CV132&lt;0,0,IF(CV132="无数据/数据缺失",0%,IF(CV132&gt;'基本数据输入&amp;测算结果'!$C$20*CU132,CU132,CV132/'基本数据输入&amp;测算结果'!$C$20*CU132)))</f>
        <v>0</v>
      </c>
      <c r="CX132" s="42" t="str">
        <f>IFERROR(('基本数据输入&amp;测算结果'!$C$19*3-AVERAGE(AT132:BE132)*3-'基本数据输入&amp;测算结果'!$C$23*3)/'基本数据输入&amp;测算结果'!$C$21*'基本数据输入&amp;测算结果'!$C$22,"无数据/数据缺失")</f>
        <v>无数据/数据缺失</v>
      </c>
      <c r="CY132" s="42">
        <f>IF(CX132&lt;0,0,IF(CX132="无数据/数据缺失",0%,IF(CX132&gt;'基本数据输入&amp;测算结果'!$C$20,100%,CX132/'基本数据输入&amp;测算结果'!$C$20)))</f>
        <v>0</v>
      </c>
      <c r="CZ132" s="42" t="str">
        <f>IFERROR((AVERAGE(BN132:CK132)*6-'基本数据输入&amp;测算结果'!$C$24*6)/'基本数据输入&amp;测算结果'!$C$21/'基本数据输入&amp;测算结果'!$C$22,"无数据/数据缺失")</f>
        <v>无数据/数据缺失</v>
      </c>
      <c r="DA132" s="42">
        <f>IF(CZ132&lt;0,0,IF(CZ132="无数据/数据缺失",0,IF('基本数据输入&amp;测算结果'!$C$20*CY132&gt;CZ132,CZ132/'基本数据输入&amp;测算结果'!$C$20*CY132,CY132)))</f>
        <v>0</v>
      </c>
      <c r="DB132" s="49">
        <f t="shared" si="8"/>
        <v>0</v>
      </c>
      <c r="DC132" s="50"/>
      <c r="DD132" s="50"/>
    </row>
    <row r="133" customHeight="1" spans="1:108">
      <c r="A133" s="52" t="s">
        <v>187</v>
      </c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51"/>
      <c r="BC133" s="51"/>
      <c r="BD133" s="51"/>
      <c r="BE133" s="51"/>
      <c r="BF133" s="51"/>
      <c r="BG133" s="51"/>
      <c r="BH133" s="51"/>
      <c r="BI133" s="51"/>
      <c r="BJ133" s="51"/>
      <c r="BK133" s="51"/>
      <c r="BL133" s="51"/>
      <c r="BM133" s="51"/>
      <c r="BN133" s="51"/>
      <c r="BO133" s="51"/>
      <c r="BP133" s="51"/>
      <c r="BQ133" s="51"/>
      <c r="BR133" s="51"/>
      <c r="BS133" s="51"/>
      <c r="BT133" s="51"/>
      <c r="BU133" s="51"/>
      <c r="BV133" s="51"/>
      <c r="BW133" s="51"/>
      <c r="BX133" s="51"/>
      <c r="BY133" s="51"/>
      <c r="BZ133" s="51"/>
      <c r="CA133" s="51"/>
      <c r="CB133" s="51"/>
      <c r="CC133" s="51"/>
      <c r="CD133" s="51"/>
      <c r="CE133" s="51"/>
      <c r="CF133" s="51"/>
      <c r="CG133" s="51"/>
      <c r="CH133" s="51"/>
      <c r="CI133" s="51"/>
      <c r="CJ133" s="51"/>
      <c r="CK133" s="51"/>
      <c r="CL133" s="51"/>
      <c r="CM133" s="51"/>
      <c r="CN133" s="51"/>
      <c r="CO133" s="51"/>
      <c r="CP133" s="51"/>
      <c r="CQ133" s="51"/>
      <c r="CR133" s="51"/>
      <c r="CS133" s="51"/>
      <c r="CT133" s="42" t="str">
        <f>IFERROR(('基本数据输入&amp;测算结果'!$C$19*7-AVERAGE(B133:Y133,CP133:CS133)*7-'基本数据输入&amp;测算结果'!$C$23*7)/'基本数据输入&amp;测算结果'!$C$21*'基本数据输入&amp;测算结果'!$C$22,"无数据/数据缺失")</f>
        <v>无数据/数据缺失</v>
      </c>
      <c r="CU133" s="42">
        <f>IF(CT133&lt;0,0,IF(CT133="无数据/数据缺失",0%,IF(CT133&gt;'基本数据输入&amp;测算结果'!$C$20,100%,CT133/'基本数据输入&amp;测算结果'!$C$20)))</f>
        <v>0</v>
      </c>
      <c r="CV133" s="42" t="str">
        <f>IFERROR((AVERAGE(Z133:AG133)*2-'基本数据输入&amp;测算结果'!$C$24*2)/'基本数据输入&amp;测算结果'!$C$21/'基本数据输入&amp;测算结果'!$C$22,"无数据/数据缺失")</f>
        <v>无数据/数据缺失</v>
      </c>
      <c r="CW133" s="42">
        <f>IF(CV133&lt;0,0,IF(CV133="无数据/数据缺失",0%,IF(CV133&gt;'基本数据输入&amp;测算结果'!$C$20*CU133,CU133,CV133/'基本数据输入&amp;测算结果'!$C$20*CU133)))</f>
        <v>0</v>
      </c>
      <c r="CX133" s="42" t="str">
        <f>IFERROR(('基本数据输入&amp;测算结果'!$C$19*3-AVERAGE(AT133:BE133)*3-'基本数据输入&amp;测算结果'!$C$23*3)/'基本数据输入&amp;测算结果'!$C$21*'基本数据输入&amp;测算结果'!$C$22,"无数据/数据缺失")</f>
        <v>无数据/数据缺失</v>
      </c>
      <c r="CY133" s="42">
        <f>IF(CX133&lt;0,0,IF(CX133="无数据/数据缺失",0%,IF(CX133&gt;'基本数据输入&amp;测算结果'!$C$20,100%,CX133/'基本数据输入&amp;测算结果'!$C$20)))</f>
        <v>0</v>
      </c>
      <c r="CZ133" s="42" t="str">
        <f>IFERROR((AVERAGE(BN133:CK133)*6-'基本数据输入&amp;测算结果'!$C$24*6)/'基本数据输入&amp;测算结果'!$C$21/'基本数据输入&amp;测算结果'!$C$22,"无数据/数据缺失")</f>
        <v>无数据/数据缺失</v>
      </c>
      <c r="DA133" s="42">
        <f>IF(CZ133&lt;0,0,IF(CZ133="无数据/数据缺失",0,IF('基本数据输入&amp;测算结果'!$C$20*CY133&gt;CZ133,CZ133/'基本数据输入&amp;测算结果'!$C$20*CY133,CY133)))</f>
        <v>0</v>
      </c>
      <c r="DB133" s="49">
        <f t="shared" si="8"/>
        <v>0</v>
      </c>
      <c r="DC133" s="50"/>
      <c r="DD133" s="50"/>
    </row>
    <row r="134" customHeight="1" spans="1:108">
      <c r="A134" s="52" t="s">
        <v>188</v>
      </c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51"/>
      <c r="BD134" s="51"/>
      <c r="BE134" s="51"/>
      <c r="BF134" s="51"/>
      <c r="BG134" s="51"/>
      <c r="BH134" s="51"/>
      <c r="BI134" s="51"/>
      <c r="BJ134" s="51"/>
      <c r="BK134" s="51"/>
      <c r="BL134" s="51"/>
      <c r="BM134" s="51"/>
      <c r="BN134" s="51"/>
      <c r="BO134" s="51"/>
      <c r="BP134" s="51"/>
      <c r="BQ134" s="51"/>
      <c r="BR134" s="51"/>
      <c r="BS134" s="51"/>
      <c r="BT134" s="51"/>
      <c r="BU134" s="51"/>
      <c r="BV134" s="51"/>
      <c r="BW134" s="51"/>
      <c r="BX134" s="51"/>
      <c r="BY134" s="51"/>
      <c r="BZ134" s="51"/>
      <c r="CA134" s="51"/>
      <c r="CB134" s="51"/>
      <c r="CC134" s="51"/>
      <c r="CD134" s="51"/>
      <c r="CE134" s="51"/>
      <c r="CF134" s="51"/>
      <c r="CG134" s="51"/>
      <c r="CH134" s="51"/>
      <c r="CI134" s="51"/>
      <c r="CJ134" s="51"/>
      <c r="CK134" s="51"/>
      <c r="CL134" s="51"/>
      <c r="CM134" s="51"/>
      <c r="CN134" s="51"/>
      <c r="CO134" s="51"/>
      <c r="CP134" s="51"/>
      <c r="CQ134" s="51"/>
      <c r="CR134" s="51"/>
      <c r="CS134" s="51"/>
      <c r="CT134" s="42" t="str">
        <f>IFERROR(('基本数据输入&amp;测算结果'!$C$19*7-AVERAGE(B134:Y134,CP134:CS134)*7-'基本数据输入&amp;测算结果'!$C$23*7)/'基本数据输入&amp;测算结果'!$C$21*'基本数据输入&amp;测算结果'!$C$22,"无数据/数据缺失")</f>
        <v>无数据/数据缺失</v>
      </c>
      <c r="CU134" s="42">
        <f>IF(CT134&lt;0,0,IF(CT134="无数据/数据缺失",0%,IF(CT134&gt;'基本数据输入&amp;测算结果'!$C$20,100%,CT134/'基本数据输入&amp;测算结果'!$C$20)))</f>
        <v>0</v>
      </c>
      <c r="CV134" s="42" t="str">
        <f>IFERROR((AVERAGE(Z134:AG134)*2-'基本数据输入&amp;测算结果'!$C$24*2)/'基本数据输入&amp;测算结果'!$C$21/'基本数据输入&amp;测算结果'!$C$22,"无数据/数据缺失")</f>
        <v>无数据/数据缺失</v>
      </c>
      <c r="CW134" s="42">
        <f>IF(CV134&lt;0,0,IF(CV134="无数据/数据缺失",0%,IF(CV134&gt;'基本数据输入&amp;测算结果'!$C$20*CU134,CU134,CV134/'基本数据输入&amp;测算结果'!$C$20*CU134)))</f>
        <v>0</v>
      </c>
      <c r="CX134" s="42" t="str">
        <f>IFERROR(('基本数据输入&amp;测算结果'!$C$19*3-AVERAGE(AT134:BE134)*3-'基本数据输入&amp;测算结果'!$C$23*3)/'基本数据输入&amp;测算结果'!$C$21*'基本数据输入&amp;测算结果'!$C$22,"无数据/数据缺失")</f>
        <v>无数据/数据缺失</v>
      </c>
      <c r="CY134" s="42">
        <f>IF(CX134&lt;0,0,IF(CX134="无数据/数据缺失",0%,IF(CX134&gt;'基本数据输入&amp;测算结果'!$C$20,100%,CX134/'基本数据输入&amp;测算结果'!$C$20)))</f>
        <v>0</v>
      </c>
      <c r="CZ134" s="42" t="str">
        <f>IFERROR((AVERAGE(BN134:CK134)*6-'基本数据输入&amp;测算结果'!$C$24*6)/'基本数据输入&amp;测算结果'!$C$21/'基本数据输入&amp;测算结果'!$C$22,"无数据/数据缺失")</f>
        <v>无数据/数据缺失</v>
      </c>
      <c r="DA134" s="42">
        <f>IF(CZ134&lt;0,0,IF(CZ134="无数据/数据缺失",0,IF('基本数据输入&amp;测算结果'!$C$20*CY134&gt;CZ134,CZ134/'基本数据输入&amp;测算结果'!$C$20*CY134,CY134)))</f>
        <v>0</v>
      </c>
      <c r="DB134" s="49">
        <f t="shared" si="8"/>
        <v>0</v>
      </c>
      <c r="DC134" s="50"/>
      <c r="DD134" s="50"/>
    </row>
    <row r="135" customHeight="1" spans="1:108">
      <c r="A135" s="52" t="s">
        <v>189</v>
      </c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51"/>
      <c r="BC135" s="51"/>
      <c r="BD135" s="51"/>
      <c r="BE135" s="51"/>
      <c r="BF135" s="51"/>
      <c r="BG135" s="51"/>
      <c r="BH135" s="51"/>
      <c r="BI135" s="51"/>
      <c r="BJ135" s="51"/>
      <c r="BK135" s="51"/>
      <c r="BL135" s="51"/>
      <c r="BM135" s="51"/>
      <c r="BN135" s="51"/>
      <c r="BO135" s="51"/>
      <c r="BP135" s="51"/>
      <c r="BQ135" s="51"/>
      <c r="BR135" s="51"/>
      <c r="BS135" s="51"/>
      <c r="BT135" s="51"/>
      <c r="BU135" s="51"/>
      <c r="BV135" s="51"/>
      <c r="BW135" s="51"/>
      <c r="BX135" s="51"/>
      <c r="BY135" s="51"/>
      <c r="BZ135" s="51"/>
      <c r="CA135" s="51"/>
      <c r="CB135" s="51"/>
      <c r="CC135" s="51"/>
      <c r="CD135" s="51"/>
      <c r="CE135" s="51"/>
      <c r="CF135" s="51"/>
      <c r="CG135" s="51"/>
      <c r="CH135" s="51"/>
      <c r="CI135" s="51"/>
      <c r="CJ135" s="51"/>
      <c r="CK135" s="51"/>
      <c r="CL135" s="51"/>
      <c r="CM135" s="51"/>
      <c r="CN135" s="51"/>
      <c r="CO135" s="51"/>
      <c r="CP135" s="51"/>
      <c r="CQ135" s="51"/>
      <c r="CR135" s="51"/>
      <c r="CS135" s="51"/>
      <c r="CT135" s="42" t="str">
        <f>IFERROR(('基本数据输入&amp;测算结果'!$C$19*7-AVERAGE(B135:Y135,CP135:CS135)*7-'基本数据输入&amp;测算结果'!$C$23*7)/'基本数据输入&amp;测算结果'!$C$21*'基本数据输入&amp;测算结果'!$C$22,"无数据/数据缺失")</f>
        <v>无数据/数据缺失</v>
      </c>
      <c r="CU135" s="42">
        <f>IF(CT135&lt;0,0,IF(CT135="无数据/数据缺失",0%,IF(CT135&gt;'基本数据输入&amp;测算结果'!$C$20,100%,CT135/'基本数据输入&amp;测算结果'!$C$20)))</f>
        <v>0</v>
      </c>
      <c r="CV135" s="42" t="str">
        <f>IFERROR((AVERAGE(Z135:AG135)*2-'基本数据输入&amp;测算结果'!$C$24*2)/'基本数据输入&amp;测算结果'!$C$21/'基本数据输入&amp;测算结果'!$C$22,"无数据/数据缺失")</f>
        <v>无数据/数据缺失</v>
      </c>
      <c r="CW135" s="42">
        <f>IF(CV135&lt;0,0,IF(CV135="无数据/数据缺失",0%,IF(CV135&gt;'基本数据输入&amp;测算结果'!$C$20*CU135,CU135,CV135/'基本数据输入&amp;测算结果'!$C$20*CU135)))</f>
        <v>0</v>
      </c>
      <c r="CX135" s="42" t="str">
        <f>IFERROR(('基本数据输入&amp;测算结果'!$C$19*3-AVERAGE(AT135:BE135)*3-'基本数据输入&amp;测算结果'!$C$23*3)/'基本数据输入&amp;测算结果'!$C$21*'基本数据输入&amp;测算结果'!$C$22,"无数据/数据缺失")</f>
        <v>无数据/数据缺失</v>
      </c>
      <c r="CY135" s="42">
        <f>IF(CX135&lt;0,0,IF(CX135="无数据/数据缺失",0%,IF(CX135&gt;'基本数据输入&amp;测算结果'!$C$20,100%,CX135/'基本数据输入&amp;测算结果'!$C$20)))</f>
        <v>0</v>
      </c>
      <c r="CZ135" s="42" t="str">
        <f>IFERROR((AVERAGE(BN135:CK135)*6-'基本数据输入&amp;测算结果'!$C$24*6)/'基本数据输入&amp;测算结果'!$C$21/'基本数据输入&amp;测算结果'!$C$22,"无数据/数据缺失")</f>
        <v>无数据/数据缺失</v>
      </c>
      <c r="DA135" s="42">
        <f>IF(CZ135&lt;0,0,IF(CZ135="无数据/数据缺失",0,IF('基本数据输入&amp;测算结果'!$C$20*CY135&gt;CZ135,CZ135/'基本数据输入&amp;测算结果'!$C$20*CY135,CY135)))</f>
        <v>0</v>
      </c>
      <c r="DB135" s="49">
        <f t="shared" si="8"/>
        <v>0</v>
      </c>
      <c r="DC135" s="50"/>
      <c r="DD135" s="50"/>
    </row>
    <row r="136" customHeight="1" spans="1:108">
      <c r="A136" s="52" t="s">
        <v>190</v>
      </c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51"/>
      <c r="BD136" s="51"/>
      <c r="BE136" s="51"/>
      <c r="BF136" s="51"/>
      <c r="BG136" s="51"/>
      <c r="BH136" s="51"/>
      <c r="BI136" s="51"/>
      <c r="BJ136" s="51"/>
      <c r="BK136" s="51"/>
      <c r="BL136" s="51"/>
      <c r="BM136" s="51"/>
      <c r="BN136" s="51"/>
      <c r="BO136" s="51"/>
      <c r="BP136" s="51"/>
      <c r="BQ136" s="51"/>
      <c r="BR136" s="51"/>
      <c r="BS136" s="51"/>
      <c r="BT136" s="51"/>
      <c r="BU136" s="51"/>
      <c r="BV136" s="51"/>
      <c r="BW136" s="51"/>
      <c r="BX136" s="51"/>
      <c r="BY136" s="51"/>
      <c r="BZ136" s="51"/>
      <c r="CA136" s="51"/>
      <c r="CB136" s="51"/>
      <c r="CC136" s="51"/>
      <c r="CD136" s="51"/>
      <c r="CE136" s="51"/>
      <c r="CF136" s="51"/>
      <c r="CG136" s="51"/>
      <c r="CH136" s="51"/>
      <c r="CI136" s="51"/>
      <c r="CJ136" s="51"/>
      <c r="CK136" s="51"/>
      <c r="CL136" s="51"/>
      <c r="CM136" s="51"/>
      <c r="CN136" s="51"/>
      <c r="CO136" s="51"/>
      <c r="CP136" s="51"/>
      <c r="CQ136" s="51"/>
      <c r="CR136" s="51"/>
      <c r="CS136" s="51"/>
      <c r="CT136" s="42" t="str">
        <f>IFERROR(('基本数据输入&amp;测算结果'!$C$19*7-AVERAGE(B136:Y136,CP136:CS136)*7-'基本数据输入&amp;测算结果'!$C$23*7)/'基本数据输入&amp;测算结果'!$C$21*'基本数据输入&amp;测算结果'!$C$22,"无数据/数据缺失")</f>
        <v>无数据/数据缺失</v>
      </c>
      <c r="CU136" s="42">
        <f>IF(CT136&lt;0,0,IF(CT136="无数据/数据缺失",0%,IF(CT136&gt;'基本数据输入&amp;测算结果'!$C$20,100%,CT136/'基本数据输入&amp;测算结果'!$C$20)))</f>
        <v>0</v>
      </c>
      <c r="CV136" s="42" t="str">
        <f>IFERROR((AVERAGE(Z136:AG136)*2-'基本数据输入&amp;测算结果'!$C$24*2)/'基本数据输入&amp;测算结果'!$C$21/'基本数据输入&amp;测算结果'!$C$22,"无数据/数据缺失")</f>
        <v>无数据/数据缺失</v>
      </c>
      <c r="CW136" s="42">
        <f>IF(CV136&lt;0,0,IF(CV136="无数据/数据缺失",0%,IF(CV136&gt;'基本数据输入&amp;测算结果'!$C$20*CU136,CU136,CV136/'基本数据输入&amp;测算结果'!$C$20*CU136)))</f>
        <v>0</v>
      </c>
      <c r="CX136" s="42" t="str">
        <f>IFERROR(('基本数据输入&amp;测算结果'!$C$19*3-AVERAGE(AT136:BE136)*3-'基本数据输入&amp;测算结果'!$C$23*3)/'基本数据输入&amp;测算结果'!$C$21*'基本数据输入&amp;测算结果'!$C$22,"无数据/数据缺失")</f>
        <v>无数据/数据缺失</v>
      </c>
      <c r="CY136" s="42">
        <f>IF(CX136&lt;0,0,IF(CX136="无数据/数据缺失",0%,IF(CX136&gt;'基本数据输入&amp;测算结果'!$C$20,100%,CX136/'基本数据输入&amp;测算结果'!$C$20)))</f>
        <v>0</v>
      </c>
      <c r="CZ136" s="42" t="str">
        <f>IFERROR((AVERAGE(BN136:CK136)*6-'基本数据输入&amp;测算结果'!$C$24*6)/'基本数据输入&amp;测算结果'!$C$21/'基本数据输入&amp;测算结果'!$C$22,"无数据/数据缺失")</f>
        <v>无数据/数据缺失</v>
      </c>
      <c r="DA136" s="42">
        <f>IF(CZ136&lt;0,0,IF(CZ136="无数据/数据缺失",0,IF('基本数据输入&amp;测算结果'!$C$20*CY136&gt;CZ136,CZ136/'基本数据输入&amp;测算结果'!$C$20*CY136,CY136)))</f>
        <v>0</v>
      </c>
      <c r="DB136" s="49">
        <f t="shared" si="8"/>
        <v>0</v>
      </c>
      <c r="DC136" s="50"/>
      <c r="DD136" s="50"/>
    </row>
    <row r="137" customHeight="1" spans="1:108">
      <c r="A137" s="52" t="s">
        <v>191</v>
      </c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51"/>
      <c r="BD137" s="51"/>
      <c r="BE137" s="51"/>
      <c r="BF137" s="51"/>
      <c r="BG137" s="51"/>
      <c r="BH137" s="51"/>
      <c r="BI137" s="51"/>
      <c r="BJ137" s="51"/>
      <c r="BK137" s="51"/>
      <c r="BL137" s="51"/>
      <c r="BM137" s="51"/>
      <c r="BN137" s="51"/>
      <c r="BO137" s="51"/>
      <c r="BP137" s="51"/>
      <c r="BQ137" s="51"/>
      <c r="BR137" s="51"/>
      <c r="BS137" s="51"/>
      <c r="BT137" s="51"/>
      <c r="BU137" s="51"/>
      <c r="BV137" s="51"/>
      <c r="BW137" s="51"/>
      <c r="BX137" s="51"/>
      <c r="BY137" s="51"/>
      <c r="BZ137" s="51"/>
      <c r="CA137" s="51"/>
      <c r="CB137" s="51"/>
      <c r="CC137" s="51"/>
      <c r="CD137" s="51"/>
      <c r="CE137" s="51"/>
      <c r="CF137" s="51"/>
      <c r="CG137" s="51"/>
      <c r="CH137" s="51"/>
      <c r="CI137" s="51"/>
      <c r="CJ137" s="51"/>
      <c r="CK137" s="51"/>
      <c r="CL137" s="51"/>
      <c r="CM137" s="51"/>
      <c r="CN137" s="51"/>
      <c r="CO137" s="51"/>
      <c r="CP137" s="51"/>
      <c r="CQ137" s="51"/>
      <c r="CR137" s="51"/>
      <c r="CS137" s="51"/>
      <c r="CT137" s="42" t="str">
        <f>IFERROR(('基本数据输入&amp;测算结果'!$C$19*7-AVERAGE(B137:Y137,CP137:CS137)*7-'基本数据输入&amp;测算结果'!$C$23*7)/'基本数据输入&amp;测算结果'!$C$21*'基本数据输入&amp;测算结果'!$C$22,"无数据/数据缺失")</f>
        <v>无数据/数据缺失</v>
      </c>
      <c r="CU137" s="42">
        <f>IF(CT137&lt;0,0,IF(CT137="无数据/数据缺失",0%,IF(CT137&gt;'基本数据输入&amp;测算结果'!$C$20,100%,CT137/'基本数据输入&amp;测算结果'!$C$20)))</f>
        <v>0</v>
      </c>
      <c r="CV137" s="42" t="str">
        <f>IFERROR((AVERAGE(Z137:AG137)*2-'基本数据输入&amp;测算结果'!$C$24*2)/'基本数据输入&amp;测算结果'!$C$21/'基本数据输入&amp;测算结果'!$C$22,"无数据/数据缺失")</f>
        <v>无数据/数据缺失</v>
      </c>
      <c r="CW137" s="42">
        <f>IF(CV137&lt;0,0,IF(CV137="无数据/数据缺失",0%,IF(CV137&gt;'基本数据输入&amp;测算结果'!$C$20*CU137,CU137,CV137/'基本数据输入&amp;测算结果'!$C$20*CU137)))</f>
        <v>0</v>
      </c>
      <c r="CX137" s="42" t="str">
        <f>IFERROR(('基本数据输入&amp;测算结果'!$C$19*3-AVERAGE(AT137:BE137)*3-'基本数据输入&amp;测算结果'!$C$23*3)/'基本数据输入&amp;测算结果'!$C$21*'基本数据输入&amp;测算结果'!$C$22,"无数据/数据缺失")</f>
        <v>无数据/数据缺失</v>
      </c>
      <c r="CY137" s="42">
        <f>IF(CX137&lt;0,0,IF(CX137="无数据/数据缺失",0%,IF(CX137&gt;'基本数据输入&amp;测算结果'!$C$20,100%,CX137/'基本数据输入&amp;测算结果'!$C$20)))</f>
        <v>0</v>
      </c>
      <c r="CZ137" s="42" t="str">
        <f>IFERROR((AVERAGE(BN137:CK137)*6-'基本数据输入&amp;测算结果'!$C$24*6)/'基本数据输入&amp;测算结果'!$C$21/'基本数据输入&amp;测算结果'!$C$22,"无数据/数据缺失")</f>
        <v>无数据/数据缺失</v>
      </c>
      <c r="DA137" s="42">
        <f>IF(CZ137&lt;0,0,IF(CZ137="无数据/数据缺失",0,IF('基本数据输入&amp;测算结果'!$C$20*CY137&gt;CZ137,CZ137/'基本数据输入&amp;测算结果'!$C$20*CY137,CY137)))</f>
        <v>0</v>
      </c>
      <c r="DB137" s="49">
        <f t="shared" si="8"/>
        <v>0</v>
      </c>
      <c r="DC137" s="50"/>
      <c r="DD137" s="50"/>
    </row>
    <row r="138" customHeight="1" spans="1:108">
      <c r="A138" s="52" t="s">
        <v>192</v>
      </c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51"/>
      <c r="BD138" s="51"/>
      <c r="BE138" s="51"/>
      <c r="BF138" s="51"/>
      <c r="BG138" s="51"/>
      <c r="BH138" s="51"/>
      <c r="BI138" s="51"/>
      <c r="BJ138" s="51"/>
      <c r="BK138" s="51"/>
      <c r="BL138" s="51"/>
      <c r="BM138" s="51"/>
      <c r="BN138" s="51"/>
      <c r="BO138" s="51"/>
      <c r="BP138" s="51"/>
      <c r="BQ138" s="51"/>
      <c r="BR138" s="51"/>
      <c r="BS138" s="51"/>
      <c r="BT138" s="51"/>
      <c r="BU138" s="51"/>
      <c r="BV138" s="51"/>
      <c r="BW138" s="51"/>
      <c r="BX138" s="51"/>
      <c r="BY138" s="51"/>
      <c r="BZ138" s="51"/>
      <c r="CA138" s="51"/>
      <c r="CB138" s="51"/>
      <c r="CC138" s="51"/>
      <c r="CD138" s="51"/>
      <c r="CE138" s="51"/>
      <c r="CF138" s="51"/>
      <c r="CG138" s="51"/>
      <c r="CH138" s="51"/>
      <c r="CI138" s="51"/>
      <c r="CJ138" s="51"/>
      <c r="CK138" s="51"/>
      <c r="CL138" s="51"/>
      <c r="CM138" s="51"/>
      <c r="CN138" s="51"/>
      <c r="CO138" s="51"/>
      <c r="CP138" s="51"/>
      <c r="CQ138" s="51"/>
      <c r="CR138" s="51"/>
      <c r="CS138" s="51"/>
      <c r="CT138" s="42" t="str">
        <f>IFERROR(('基本数据输入&amp;测算结果'!$C$19*7-AVERAGE(B138:Y138,CP138:CS138)*7-'基本数据输入&amp;测算结果'!$C$23*7)/'基本数据输入&amp;测算结果'!$C$21*'基本数据输入&amp;测算结果'!$C$22,"无数据/数据缺失")</f>
        <v>无数据/数据缺失</v>
      </c>
      <c r="CU138" s="42">
        <f>IF(CT138&lt;0,0,IF(CT138="无数据/数据缺失",0%,IF(CT138&gt;'基本数据输入&amp;测算结果'!$C$20,100%,CT138/'基本数据输入&amp;测算结果'!$C$20)))</f>
        <v>0</v>
      </c>
      <c r="CV138" s="42" t="str">
        <f>IFERROR((AVERAGE(Z138:AG138)*2-'基本数据输入&amp;测算结果'!$C$24*2)/'基本数据输入&amp;测算结果'!$C$21/'基本数据输入&amp;测算结果'!$C$22,"无数据/数据缺失")</f>
        <v>无数据/数据缺失</v>
      </c>
      <c r="CW138" s="42">
        <f>IF(CV138&lt;0,0,IF(CV138="无数据/数据缺失",0%,IF(CV138&gt;'基本数据输入&amp;测算结果'!$C$20*CU138,CU138,CV138/'基本数据输入&amp;测算结果'!$C$20*CU138)))</f>
        <v>0</v>
      </c>
      <c r="CX138" s="42" t="str">
        <f>IFERROR(('基本数据输入&amp;测算结果'!$C$19*3-AVERAGE(AT138:BE138)*3-'基本数据输入&amp;测算结果'!$C$23*3)/'基本数据输入&amp;测算结果'!$C$21*'基本数据输入&amp;测算结果'!$C$22,"无数据/数据缺失")</f>
        <v>无数据/数据缺失</v>
      </c>
      <c r="CY138" s="42">
        <f>IF(CX138&lt;0,0,IF(CX138="无数据/数据缺失",0%,IF(CX138&gt;'基本数据输入&amp;测算结果'!$C$20,100%,CX138/'基本数据输入&amp;测算结果'!$C$20)))</f>
        <v>0</v>
      </c>
      <c r="CZ138" s="42" t="str">
        <f>IFERROR((AVERAGE(BN138:CK138)*6-'基本数据输入&amp;测算结果'!$C$24*6)/'基本数据输入&amp;测算结果'!$C$21/'基本数据输入&amp;测算结果'!$C$22,"无数据/数据缺失")</f>
        <v>无数据/数据缺失</v>
      </c>
      <c r="DA138" s="42">
        <f>IF(CZ138&lt;0,0,IF(CZ138="无数据/数据缺失",0,IF('基本数据输入&amp;测算结果'!$C$20*CY138&gt;CZ138,CZ138/'基本数据输入&amp;测算结果'!$C$20*CY138,CY138)))</f>
        <v>0</v>
      </c>
      <c r="DB138" s="49">
        <f t="shared" si="8"/>
        <v>0</v>
      </c>
      <c r="DC138" s="50"/>
      <c r="DD138" s="50"/>
    </row>
    <row r="139" customHeight="1" spans="1:108">
      <c r="A139" s="52" t="s">
        <v>193</v>
      </c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51"/>
      <c r="BD139" s="51"/>
      <c r="BE139" s="51"/>
      <c r="BF139" s="51"/>
      <c r="BG139" s="51"/>
      <c r="BH139" s="51"/>
      <c r="BI139" s="51"/>
      <c r="BJ139" s="51"/>
      <c r="BK139" s="51"/>
      <c r="BL139" s="51"/>
      <c r="BM139" s="51"/>
      <c r="BN139" s="51"/>
      <c r="BO139" s="51"/>
      <c r="BP139" s="51"/>
      <c r="BQ139" s="51"/>
      <c r="BR139" s="51"/>
      <c r="BS139" s="51"/>
      <c r="BT139" s="51"/>
      <c r="BU139" s="51"/>
      <c r="BV139" s="51"/>
      <c r="BW139" s="51"/>
      <c r="BX139" s="51"/>
      <c r="BY139" s="51"/>
      <c r="BZ139" s="51"/>
      <c r="CA139" s="51"/>
      <c r="CB139" s="51"/>
      <c r="CC139" s="51"/>
      <c r="CD139" s="51"/>
      <c r="CE139" s="51"/>
      <c r="CF139" s="51"/>
      <c r="CG139" s="51"/>
      <c r="CH139" s="51"/>
      <c r="CI139" s="51"/>
      <c r="CJ139" s="51"/>
      <c r="CK139" s="51"/>
      <c r="CL139" s="51"/>
      <c r="CM139" s="51"/>
      <c r="CN139" s="51"/>
      <c r="CO139" s="51"/>
      <c r="CP139" s="51"/>
      <c r="CQ139" s="51"/>
      <c r="CR139" s="51"/>
      <c r="CS139" s="51"/>
      <c r="CT139" s="42" t="str">
        <f>IFERROR(('基本数据输入&amp;测算结果'!$C$19*7-AVERAGE(B139:Y139,CP139:CS139)*7-'基本数据输入&amp;测算结果'!$C$23*7)/'基本数据输入&amp;测算结果'!$C$21*'基本数据输入&amp;测算结果'!$C$22,"无数据/数据缺失")</f>
        <v>无数据/数据缺失</v>
      </c>
      <c r="CU139" s="42">
        <f>IF(CT139&lt;0,0,IF(CT139="无数据/数据缺失",0%,IF(CT139&gt;'基本数据输入&amp;测算结果'!$C$20,100%,CT139/'基本数据输入&amp;测算结果'!$C$20)))</f>
        <v>0</v>
      </c>
      <c r="CV139" s="42" t="str">
        <f>IFERROR((AVERAGE(Z139:AG139)*2-'基本数据输入&amp;测算结果'!$C$24*2)/'基本数据输入&amp;测算结果'!$C$21/'基本数据输入&amp;测算结果'!$C$22,"无数据/数据缺失")</f>
        <v>无数据/数据缺失</v>
      </c>
      <c r="CW139" s="42">
        <f>IF(CV139&lt;0,0,IF(CV139="无数据/数据缺失",0%,IF(CV139&gt;'基本数据输入&amp;测算结果'!$C$20*CU139,CU139,CV139/'基本数据输入&amp;测算结果'!$C$20*CU139)))</f>
        <v>0</v>
      </c>
      <c r="CX139" s="42" t="str">
        <f>IFERROR(('基本数据输入&amp;测算结果'!$C$19*3-AVERAGE(AT139:BE139)*3-'基本数据输入&amp;测算结果'!$C$23*3)/'基本数据输入&amp;测算结果'!$C$21*'基本数据输入&amp;测算结果'!$C$22,"无数据/数据缺失")</f>
        <v>无数据/数据缺失</v>
      </c>
      <c r="CY139" s="42">
        <f>IF(CX139&lt;0,0,IF(CX139="无数据/数据缺失",0%,IF(CX139&gt;'基本数据输入&amp;测算结果'!$C$20,100%,CX139/'基本数据输入&amp;测算结果'!$C$20)))</f>
        <v>0</v>
      </c>
      <c r="CZ139" s="42" t="str">
        <f>IFERROR((AVERAGE(BN139:CK139)*6-'基本数据输入&amp;测算结果'!$C$24*6)/'基本数据输入&amp;测算结果'!$C$21/'基本数据输入&amp;测算结果'!$C$22,"无数据/数据缺失")</f>
        <v>无数据/数据缺失</v>
      </c>
      <c r="DA139" s="42">
        <f>IF(CZ139&lt;0,0,IF(CZ139="无数据/数据缺失",0,IF('基本数据输入&amp;测算结果'!$C$20*CY139&gt;CZ139,CZ139/'基本数据输入&amp;测算结果'!$C$20*CY139,CY139)))</f>
        <v>0</v>
      </c>
      <c r="DB139" s="49">
        <f t="shared" si="8"/>
        <v>0</v>
      </c>
      <c r="DC139" s="50"/>
      <c r="DD139" s="50"/>
    </row>
    <row r="140" customHeight="1" spans="1:108">
      <c r="A140" s="52" t="s">
        <v>194</v>
      </c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51"/>
      <c r="BD140" s="51"/>
      <c r="BE140" s="51"/>
      <c r="BF140" s="51"/>
      <c r="BG140" s="51"/>
      <c r="BH140" s="51"/>
      <c r="BI140" s="51"/>
      <c r="BJ140" s="51"/>
      <c r="BK140" s="51"/>
      <c r="BL140" s="51"/>
      <c r="BM140" s="51"/>
      <c r="BN140" s="51"/>
      <c r="BO140" s="51"/>
      <c r="BP140" s="51"/>
      <c r="BQ140" s="51"/>
      <c r="BR140" s="51"/>
      <c r="BS140" s="51"/>
      <c r="BT140" s="51"/>
      <c r="BU140" s="51"/>
      <c r="BV140" s="51"/>
      <c r="BW140" s="51"/>
      <c r="BX140" s="51"/>
      <c r="BY140" s="51"/>
      <c r="BZ140" s="51"/>
      <c r="CA140" s="51"/>
      <c r="CB140" s="51"/>
      <c r="CC140" s="51"/>
      <c r="CD140" s="51"/>
      <c r="CE140" s="51"/>
      <c r="CF140" s="51"/>
      <c r="CG140" s="51"/>
      <c r="CH140" s="51"/>
      <c r="CI140" s="51"/>
      <c r="CJ140" s="51"/>
      <c r="CK140" s="51"/>
      <c r="CL140" s="51"/>
      <c r="CM140" s="51"/>
      <c r="CN140" s="51"/>
      <c r="CO140" s="51"/>
      <c r="CP140" s="51"/>
      <c r="CQ140" s="51"/>
      <c r="CR140" s="51"/>
      <c r="CS140" s="51"/>
      <c r="CT140" s="42" t="str">
        <f>IFERROR(('基本数据输入&amp;测算结果'!$C$19*7-AVERAGE(B140:Y140,CP140:CS140)*7-'基本数据输入&amp;测算结果'!$C$23*7)/'基本数据输入&amp;测算结果'!$C$21*'基本数据输入&amp;测算结果'!$C$22,"无数据/数据缺失")</f>
        <v>无数据/数据缺失</v>
      </c>
      <c r="CU140" s="42">
        <f>IF(CT140&lt;0,0,IF(CT140="无数据/数据缺失",0%,IF(CT140&gt;'基本数据输入&amp;测算结果'!$C$20,100%,CT140/'基本数据输入&amp;测算结果'!$C$20)))</f>
        <v>0</v>
      </c>
      <c r="CV140" s="42" t="str">
        <f>IFERROR((AVERAGE(Z140:AG140)*2-'基本数据输入&amp;测算结果'!$C$24*2)/'基本数据输入&amp;测算结果'!$C$21/'基本数据输入&amp;测算结果'!$C$22,"无数据/数据缺失")</f>
        <v>无数据/数据缺失</v>
      </c>
      <c r="CW140" s="42">
        <f>IF(CV140&lt;0,0,IF(CV140="无数据/数据缺失",0%,IF(CV140&gt;'基本数据输入&amp;测算结果'!$C$20*CU140,CU140,CV140/'基本数据输入&amp;测算结果'!$C$20*CU140)))</f>
        <v>0</v>
      </c>
      <c r="CX140" s="42" t="str">
        <f>IFERROR(('基本数据输入&amp;测算结果'!$C$19*3-AVERAGE(AT140:BE140)*3-'基本数据输入&amp;测算结果'!$C$23*3)/'基本数据输入&amp;测算结果'!$C$21*'基本数据输入&amp;测算结果'!$C$22,"无数据/数据缺失")</f>
        <v>无数据/数据缺失</v>
      </c>
      <c r="CY140" s="42">
        <f>IF(CX140&lt;0,0,IF(CX140="无数据/数据缺失",0%,IF(CX140&gt;'基本数据输入&amp;测算结果'!$C$20,100%,CX140/'基本数据输入&amp;测算结果'!$C$20)))</f>
        <v>0</v>
      </c>
      <c r="CZ140" s="42" t="str">
        <f>IFERROR((AVERAGE(BN140:CK140)*6-'基本数据输入&amp;测算结果'!$C$24*6)/'基本数据输入&amp;测算结果'!$C$21/'基本数据输入&amp;测算结果'!$C$22,"无数据/数据缺失")</f>
        <v>无数据/数据缺失</v>
      </c>
      <c r="DA140" s="42">
        <f>IF(CZ140&lt;0,0,IF(CZ140="无数据/数据缺失",0,IF('基本数据输入&amp;测算结果'!$C$20*CY140&gt;CZ140,CZ140/'基本数据输入&amp;测算结果'!$C$20*CY140,CY140)))</f>
        <v>0</v>
      </c>
      <c r="DB140" s="49">
        <f t="shared" si="8"/>
        <v>0</v>
      </c>
      <c r="DC140" s="50"/>
      <c r="DD140" s="50"/>
    </row>
    <row r="141" customHeight="1" spans="1:108">
      <c r="A141" s="52" t="s">
        <v>195</v>
      </c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51"/>
      <c r="BC141" s="51"/>
      <c r="BD141" s="51"/>
      <c r="BE141" s="51"/>
      <c r="BF141" s="51"/>
      <c r="BG141" s="51"/>
      <c r="BH141" s="51"/>
      <c r="BI141" s="51"/>
      <c r="BJ141" s="51"/>
      <c r="BK141" s="51"/>
      <c r="BL141" s="51"/>
      <c r="BM141" s="51"/>
      <c r="BN141" s="51"/>
      <c r="BO141" s="51"/>
      <c r="BP141" s="51"/>
      <c r="BQ141" s="51"/>
      <c r="BR141" s="51"/>
      <c r="BS141" s="51"/>
      <c r="BT141" s="51"/>
      <c r="BU141" s="51"/>
      <c r="BV141" s="51"/>
      <c r="BW141" s="51"/>
      <c r="BX141" s="51"/>
      <c r="BY141" s="51"/>
      <c r="BZ141" s="51"/>
      <c r="CA141" s="51"/>
      <c r="CB141" s="51"/>
      <c r="CC141" s="51"/>
      <c r="CD141" s="51"/>
      <c r="CE141" s="51"/>
      <c r="CF141" s="51"/>
      <c r="CG141" s="51"/>
      <c r="CH141" s="51"/>
      <c r="CI141" s="51"/>
      <c r="CJ141" s="51"/>
      <c r="CK141" s="51"/>
      <c r="CL141" s="51"/>
      <c r="CM141" s="51"/>
      <c r="CN141" s="51"/>
      <c r="CO141" s="51"/>
      <c r="CP141" s="51"/>
      <c r="CQ141" s="51"/>
      <c r="CR141" s="51"/>
      <c r="CS141" s="51"/>
      <c r="CT141" s="42" t="str">
        <f>IFERROR(('基本数据输入&amp;测算结果'!$C$19*7-AVERAGE(B141:Y141,CP141:CS141)*7-'基本数据输入&amp;测算结果'!$C$23*7)/'基本数据输入&amp;测算结果'!$C$21*'基本数据输入&amp;测算结果'!$C$22,"无数据/数据缺失")</f>
        <v>无数据/数据缺失</v>
      </c>
      <c r="CU141" s="42">
        <f>IF(CT141&lt;0,0,IF(CT141="无数据/数据缺失",0%,IF(CT141&gt;'基本数据输入&amp;测算结果'!$C$20,100%,CT141/'基本数据输入&amp;测算结果'!$C$20)))</f>
        <v>0</v>
      </c>
      <c r="CV141" s="42" t="str">
        <f>IFERROR((AVERAGE(Z141:AG141)*2-'基本数据输入&amp;测算结果'!$C$24*2)/'基本数据输入&amp;测算结果'!$C$21/'基本数据输入&amp;测算结果'!$C$22,"无数据/数据缺失")</f>
        <v>无数据/数据缺失</v>
      </c>
      <c r="CW141" s="42">
        <f>IF(CV141&lt;0,0,IF(CV141="无数据/数据缺失",0%,IF(CV141&gt;'基本数据输入&amp;测算结果'!$C$20*CU141,CU141,CV141/'基本数据输入&amp;测算结果'!$C$20*CU141)))</f>
        <v>0</v>
      </c>
      <c r="CX141" s="42" t="str">
        <f>IFERROR(('基本数据输入&amp;测算结果'!$C$19*3-AVERAGE(AT141:BE141)*3-'基本数据输入&amp;测算结果'!$C$23*3)/'基本数据输入&amp;测算结果'!$C$21*'基本数据输入&amp;测算结果'!$C$22,"无数据/数据缺失")</f>
        <v>无数据/数据缺失</v>
      </c>
      <c r="CY141" s="42">
        <f>IF(CX141&lt;0,0,IF(CX141="无数据/数据缺失",0%,IF(CX141&gt;'基本数据输入&amp;测算结果'!$C$20,100%,CX141/'基本数据输入&amp;测算结果'!$C$20)))</f>
        <v>0</v>
      </c>
      <c r="CZ141" s="42" t="str">
        <f>IFERROR((AVERAGE(BN141:CK141)*6-'基本数据输入&amp;测算结果'!$C$24*6)/'基本数据输入&amp;测算结果'!$C$21/'基本数据输入&amp;测算结果'!$C$22,"无数据/数据缺失")</f>
        <v>无数据/数据缺失</v>
      </c>
      <c r="DA141" s="42">
        <f>IF(CZ141&lt;0,0,IF(CZ141="无数据/数据缺失",0,IF('基本数据输入&amp;测算结果'!$C$20*CY141&gt;CZ141,CZ141/'基本数据输入&amp;测算结果'!$C$20*CY141,CY141)))</f>
        <v>0</v>
      </c>
      <c r="DB141" s="49">
        <f t="shared" si="8"/>
        <v>0</v>
      </c>
      <c r="DC141" s="50"/>
      <c r="DD141" s="50"/>
    </row>
    <row r="142" customHeight="1" spans="1:108">
      <c r="A142" s="52" t="s">
        <v>196</v>
      </c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51"/>
      <c r="AQ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51"/>
      <c r="BC142" s="51"/>
      <c r="BD142" s="51"/>
      <c r="BE142" s="51"/>
      <c r="BF142" s="51"/>
      <c r="BG142" s="51"/>
      <c r="BH142" s="51"/>
      <c r="BI142" s="51"/>
      <c r="BJ142" s="51"/>
      <c r="BK142" s="51"/>
      <c r="BL142" s="51"/>
      <c r="BM142" s="51"/>
      <c r="BN142" s="51"/>
      <c r="BO142" s="51"/>
      <c r="BP142" s="51"/>
      <c r="BQ142" s="51"/>
      <c r="BR142" s="51"/>
      <c r="BS142" s="51"/>
      <c r="BT142" s="51"/>
      <c r="BU142" s="51"/>
      <c r="BV142" s="51"/>
      <c r="BW142" s="51"/>
      <c r="BX142" s="51"/>
      <c r="BY142" s="51"/>
      <c r="BZ142" s="51"/>
      <c r="CA142" s="51"/>
      <c r="CB142" s="51"/>
      <c r="CC142" s="51"/>
      <c r="CD142" s="51"/>
      <c r="CE142" s="51"/>
      <c r="CF142" s="51"/>
      <c r="CG142" s="51"/>
      <c r="CH142" s="51"/>
      <c r="CI142" s="51"/>
      <c r="CJ142" s="51"/>
      <c r="CK142" s="51"/>
      <c r="CL142" s="51"/>
      <c r="CM142" s="51"/>
      <c r="CN142" s="51"/>
      <c r="CO142" s="51"/>
      <c r="CP142" s="51"/>
      <c r="CQ142" s="51"/>
      <c r="CR142" s="51"/>
      <c r="CS142" s="51"/>
      <c r="CT142" s="42" t="str">
        <f>IFERROR(('基本数据输入&amp;测算结果'!$C$19*7-AVERAGE(B142:Y142,CP142:CS142)*7-'基本数据输入&amp;测算结果'!$C$23*7)/'基本数据输入&amp;测算结果'!$C$21*'基本数据输入&amp;测算结果'!$C$22,"无数据/数据缺失")</f>
        <v>无数据/数据缺失</v>
      </c>
      <c r="CU142" s="42">
        <f>IF(CT142&lt;0,0,IF(CT142="无数据/数据缺失",0%,IF(CT142&gt;'基本数据输入&amp;测算结果'!$C$20,100%,CT142/'基本数据输入&amp;测算结果'!$C$20)))</f>
        <v>0</v>
      </c>
      <c r="CV142" s="42" t="str">
        <f>IFERROR((AVERAGE(Z142:AG142)*2-'基本数据输入&amp;测算结果'!$C$24*2)/'基本数据输入&amp;测算结果'!$C$21/'基本数据输入&amp;测算结果'!$C$22,"无数据/数据缺失")</f>
        <v>无数据/数据缺失</v>
      </c>
      <c r="CW142" s="42">
        <f>IF(CV142&lt;0,0,IF(CV142="无数据/数据缺失",0%,IF(CV142&gt;'基本数据输入&amp;测算结果'!$C$20*CU142,CU142,CV142/'基本数据输入&amp;测算结果'!$C$20*CU142)))</f>
        <v>0</v>
      </c>
      <c r="CX142" s="42" t="str">
        <f>IFERROR(('基本数据输入&amp;测算结果'!$C$19*3-AVERAGE(AT142:BE142)*3-'基本数据输入&amp;测算结果'!$C$23*3)/'基本数据输入&amp;测算结果'!$C$21*'基本数据输入&amp;测算结果'!$C$22,"无数据/数据缺失")</f>
        <v>无数据/数据缺失</v>
      </c>
      <c r="CY142" s="42">
        <f>IF(CX142&lt;0,0,IF(CX142="无数据/数据缺失",0%,IF(CX142&gt;'基本数据输入&amp;测算结果'!$C$20,100%,CX142/'基本数据输入&amp;测算结果'!$C$20)))</f>
        <v>0</v>
      </c>
      <c r="CZ142" s="42" t="str">
        <f>IFERROR((AVERAGE(BN142:CK142)*6-'基本数据输入&amp;测算结果'!$C$24*6)/'基本数据输入&amp;测算结果'!$C$21/'基本数据输入&amp;测算结果'!$C$22,"无数据/数据缺失")</f>
        <v>无数据/数据缺失</v>
      </c>
      <c r="DA142" s="42">
        <f>IF(CZ142&lt;0,0,IF(CZ142="无数据/数据缺失",0,IF('基本数据输入&amp;测算结果'!$C$20*CY142&gt;CZ142,CZ142/'基本数据输入&amp;测算结果'!$C$20*CY142,CY142)))</f>
        <v>0</v>
      </c>
      <c r="DB142" s="49">
        <f t="shared" si="8"/>
        <v>0</v>
      </c>
      <c r="DC142" s="50"/>
      <c r="DD142" s="50"/>
    </row>
    <row r="143" customHeight="1" spans="1:108">
      <c r="A143" s="52" t="s">
        <v>197</v>
      </c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51"/>
      <c r="BC143" s="51"/>
      <c r="BD143" s="51"/>
      <c r="BE143" s="51"/>
      <c r="BF143" s="51"/>
      <c r="BG143" s="51"/>
      <c r="BH143" s="51"/>
      <c r="BI143" s="51"/>
      <c r="BJ143" s="51"/>
      <c r="BK143" s="51"/>
      <c r="BL143" s="51"/>
      <c r="BM143" s="51"/>
      <c r="BN143" s="51"/>
      <c r="BO143" s="51"/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1"/>
      <c r="CA143" s="51"/>
      <c r="CB143" s="51"/>
      <c r="CC143" s="51"/>
      <c r="CD143" s="51"/>
      <c r="CE143" s="51"/>
      <c r="CF143" s="51"/>
      <c r="CG143" s="51"/>
      <c r="CH143" s="51"/>
      <c r="CI143" s="51"/>
      <c r="CJ143" s="51"/>
      <c r="CK143" s="51"/>
      <c r="CL143" s="51"/>
      <c r="CM143" s="51"/>
      <c r="CN143" s="51"/>
      <c r="CO143" s="51"/>
      <c r="CP143" s="51"/>
      <c r="CQ143" s="51"/>
      <c r="CR143" s="51"/>
      <c r="CS143" s="51"/>
      <c r="CT143" s="42" t="str">
        <f>IFERROR(('基本数据输入&amp;测算结果'!$C$19*7-AVERAGE(B143:Y143,CP143:CS143)*7-'基本数据输入&amp;测算结果'!$C$23*7)/'基本数据输入&amp;测算结果'!$C$21*'基本数据输入&amp;测算结果'!$C$22,"无数据/数据缺失")</f>
        <v>无数据/数据缺失</v>
      </c>
      <c r="CU143" s="42">
        <f>IF(CT143&lt;0,0,IF(CT143="无数据/数据缺失",0%,IF(CT143&gt;'基本数据输入&amp;测算结果'!$C$20,100%,CT143/'基本数据输入&amp;测算结果'!$C$20)))</f>
        <v>0</v>
      </c>
      <c r="CV143" s="42" t="str">
        <f>IFERROR((AVERAGE(Z143:AG143)*2-'基本数据输入&amp;测算结果'!$C$24*2)/'基本数据输入&amp;测算结果'!$C$21/'基本数据输入&amp;测算结果'!$C$22,"无数据/数据缺失")</f>
        <v>无数据/数据缺失</v>
      </c>
      <c r="CW143" s="42">
        <f>IF(CV143&lt;0,0,IF(CV143="无数据/数据缺失",0%,IF(CV143&gt;'基本数据输入&amp;测算结果'!$C$20*CU143,CU143,CV143/'基本数据输入&amp;测算结果'!$C$20*CU143)))</f>
        <v>0</v>
      </c>
      <c r="CX143" s="42" t="str">
        <f>IFERROR(('基本数据输入&amp;测算结果'!$C$19*3-AVERAGE(AT143:BE143)*3-'基本数据输入&amp;测算结果'!$C$23*3)/'基本数据输入&amp;测算结果'!$C$21*'基本数据输入&amp;测算结果'!$C$22,"无数据/数据缺失")</f>
        <v>无数据/数据缺失</v>
      </c>
      <c r="CY143" s="42">
        <f>IF(CX143&lt;0,0,IF(CX143="无数据/数据缺失",0%,IF(CX143&gt;'基本数据输入&amp;测算结果'!$C$20,100%,CX143/'基本数据输入&amp;测算结果'!$C$20)))</f>
        <v>0</v>
      </c>
      <c r="CZ143" s="42" t="str">
        <f>IFERROR((AVERAGE(BN143:CK143)*6-'基本数据输入&amp;测算结果'!$C$24*6)/'基本数据输入&amp;测算结果'!$C$21/'基本数据输入&amp;测算结果'!$C$22,"无数据/数据缺失")</f>
        <v>无数据/数据缺失</v>
      </c>
      <c r="DA143" s="42">
        <f>IF(CZ143&lt;0,0,IF(CZ143="无数据/数据缺失",0,IF('基本数据输入&amp;测算结果'!$C$20*CY143&gt;CZ143,CZ143/'基本数据输入&amp;测算结果'!$C$20*CY143,CY143)))</f>
        <v>0</v>
      </c>
      <c r="DB143" s="49">
        <f t="shared" si="8"/>
        <v>0</v>
      </c>
      <c r="DC143" s="50"/>
      <c r="DD143" s="50"/>
    </row>
    <row r="144" customHeight="1" spans="1:108">
      <c r="A144" s="52" t="s">
        <v>198</v>
      </c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51"/>
      <c r="AQ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51"/>
      <c r="BC144" s="51"/>
      <c r="BD144" s="51"/>
      <c r="BE144" s="51"/>
      <c r="BF144" s="51"/>
      <c r="BG144" s="51"/>
      <c r="BH144" s="51"/>
      <c r="BI144" s="51"/>
      <c r="BJ144" s="51"/>
      <c r="BK144" s="51"/>
      <c r="BL144" s="51"/>
      <c r="BM144" s="51"/>
      <c r="BN144" s="51"/>
      <c r="BO144" s="51"/>
      <c r="BP144" s="51"/>
      <c r="BQ144" s="51"/>
      <c r="BR144" s="51"/>
      <c r="BS144" s="51"/>
      <c r="BT144" s="51"/>
      <c r="BU144" s="51"/>
      <c r="BV144" s="51"/>
      <c r="BW144" s="51"/>
      <c r="BX144" s="51"/>
      <c r="BY144" s="51"/>
      <c r="BZ144" s="51"/>
      <c r="CA144" s="51"/>
      <c r="CB144" s="51"/>
      <c r="CC144" s="51"/>
      <c r="CD144" s="51"/>
      <c r="CE144" s="51"/>
      <c r="CF144" s="51"/>
      <c r="CG144" s="51"/>
      <c r="CH144" s="51"/>
      <c r="CI144" s="51"/>
      <c r="CJ144" s="51"/>
      <c r="CK144" s="51"/>
      <c r="CL144" s="51"/>
      <c r="CM144" s="51"/>
      <c r="CN144" s="51"/>
      <c r="CO144" s="51"/>
      <c r="CP144" s="51"/>
      <c r="CQ144" s="51"/>
      <c r="CR144" s="51"/>
      <c r="CS144" s="51"/>
      <c r="CT144" s="42" t="str">
        <f>IFERROR(('基本数据输入&amp;测算结果'!$C$19*7-AVERAGE(B144:Y144,CP144:CS144)*7-'基本数据输入&amp;测算结果'!$C$23*7)/'基本数据输入&amp;测算结果'!$C$21*'基本数据输入&amp;测算结果'!$C$22,"无数据/数据缺失")</f>
        <v>无数据/数据缺失</v>
      </c>
      <c r="CU144" s="42">
        <f>IF(CT144&lt;0,0,IF(CT144="无数据/数据缺失",0%,IF(CT144&gt;'基本数据输入&amp;测算结果'!$C$20,100%,CT144/'基本数据输入&amp;测算结果'!$C$20)))</f>
        <v>0</v>
      </c>
      <c r="CV144" s="42" t="str">
        <f>IFERROR((AVERAGE(Z144:AG144)*2-'基本数据输入&amp;测算结果'!$C$24*2)/'基本数据输入&amp;测算结果'!$C$21/'基本数据输入&amp;测算结果'!$C$22,"无数据/数据缺失")</f>
        <v>无数据/数据缺失</v>
      </c>
      <c r="CW144" s="42">
        <f>IF(CV144&lt;0,0,IF(CV144="无数据/数据缺失",0%,IF(CV144&gt;'基本数据输入&amp;测算结果'!$C$20*CU144,CU144,CV144/'基本数据输入&amp;测算结果'!$C$20*CU144)))</f>
        <v>0</v>
      </c>
      <c r="CX144" s="42" t="str">
        <f>IFERROR(('基本数据输入&amp;测算结果'!$C$19*3-AVERAGE(AT144:BE144)*3-'基本数据输入&amp;测算结果'!$C$23*3)/'基本数据输入&amp;测算结果'!$C$21*'基本数据输入&amp;测算结果'!$C$22,"无数据/数据缺失")</f>
        <v>无数据/数据缺失</v>
      </c>
      <c r="CY144" s="42">
        <f>IF(CX144&lt;0,0,IF(CX144="无数据/数据缺失",0%,IF(CX144&gt;'基本数据输入&amp;测算结果'!$C$20,100%,CX144/'基本数据输入&amp;测算结果'!$C$20)))</f>
        <v>0</v>
      </c>
      <c r="CZ144" s="42" t="str">
        <f>IFERROR((AVERAGE(BN144:CK144)*6-'基本数据输入&amp;测算结果'!$C$24*6)/'基本数据输入&amp;测算结果'!$C$21/'基本数据输入&amp;测算结果'!$C$22,"无数据/数据缺失")</f>
        <v>无数据/数据缺失</v>
      </c>
      <c r="DA144" s="42">
        <f>IF(CZ144&lt;0,0,IF(CZ144="无数据/数据缺失",0,IF('基本数据输入&amp;测算结果'!$C$20*CY144&gt;CZ144,CZ144/'基本数据输入&amp;测算结果'!$C$20*CY144,CY144)))</f>
        <v>0</v>
      </c>
      <c r="DB144" s="49">
        <f t="shared" si="8"/>
        <v>0</v>
      </c>
      <c r="DC144" s="50"/>
      <c r="DD144" s="50"/>
    </row>
    <row r="145" customHeight="1" spans="1:108">
      <c r="A145" s="52" t="s">
        <v>199</v>
      </c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51"/>
      <c r="BC145" s="51"/>
      <c r="BD145" s="51"/>
      <c r="BE145" s="51"/>
      <c r="BF145" s="51"/>
      <c r="BG145" s="51"/>
      <c r="BH145" s="51"/>
      <c r="BI145" s="51"/>
      <c r="BJ145" s="51"/>
      <c r="BK145" s="51"/>
      <c r="BL145" s="51"/>
      <c r="BM145" s="51"/>
      <c r="BN145" s="51"/>
      <c r="BO145" s="51"/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1"/>
      <c r="CA145" s="51"/>
      <c r="CB145" s="51"/>
      <c r="CC145" s="51"/>
      <c r="CD145" s="51"/>
      <c r="CE145" s="51"/>
      <c r="CF145" s="51"/>
      <c r="CG145" s="51"/>
      <c r="CH145" s="51"/>
      <c r="CI145" s="51"/>
      <c r="CJ145" s="51"/>
      <c r="CK145" s="51"/>
      <c r="CL145" s="51"/>
      <c r="CM145" s="51"/>
      <c r="CN145" s="51"/>
      <c r="CO145" s="51"/>
      <c r="CP145" s="51"/>
      <c r="CQ145" s="51"/>
      <c r="CR145" s="51"/>
      <c r="CS145" s="51"/>
      <c r="CT145" s="42" t="str">
        <f>IFERROR(('基本数据输入&amp;测算结果'!$C$19*7-AVERAGE(B145:Y145,CP145:CS145)*7-'基本数据输入&amp;测算结果'!$C$23*7)/'基本数据输入&amp;测算结果'!$C$21*'基本数据输入&amp;测算结果'!$C$22,"无数据/数据缺失")</f>
        <v>无数据/数据缺失</v>
      </c>
      <c r="CU145" s="42">
        <f>IF(CT145&lt;0,0,IF(CT145="无数据/数据缺失",0%,IF(CT145&gt;'基本数据输入&amp;测算结果'!$C$20,100%,CT145/'基本数据输入&amp;测算结果'!$C$20)))</f>
        <v>0</v>
      </c>
      <c r="CV145" s="42" t="str">
        <f>IFERROR((AVERAGE(Z145:AG145)*2-'基本数据输入&amp;测算结果'!$C$24*2)/'基本数据输入&amp;测算结果'!$C$21/'基本数据输入&amp;测算结果'!$C$22,"无数据/数据缺失")</f>
        <v>无数据/数据缺失</v>
      </c>
      <c r="CW145" s="42">
        <f>IF(CV145&lt;0,0,IF(CV145="无数据/数据缺失",0%,IF(CV145&gt;'基本数据输入&amp;测算结果'!$C$20*CU145,CU145,CV145/'基本数据输入&amp;测算结果'!$C$20*CU145)))</f>
        <v>0</v>
      </c>
      <c r="CX145" s="42" t="str">
        <f>IFERROR(('基本数据输入&amp;测算结果'!$C$19*3-AVERAGE(AT145:BE145)*3-'基本数据输入&amp;测算结果'!$C$23*3)/'基本数据输入&amp;测算结果'!$C$21*'基本数据输入&amp;测算结果'!$C$22,"无数据/数据缺失")</f>
        <v>无数据/数据缺失</v>
      </c>
      <c r="CY145" s="42">
        <f>IF(CX145&lt;0,0,IF(CX145="无数据/数据缺失",0%,IF(CX145&gt;'基本数据输入&amp;测算结果'!$C$20,100%,CX145/'基本数据输入&amp;测算结果'!$C$20)))</f>
        <v>0</v>
      </c>
      <c r="CZ145" s="42" t="str">
        <f>IFERROR((AVERAGE(BN145:CK145)*6-'基本数据输入&amp;测算结果'!$C$24*6)/'基本数据输入&amp;测算结果'!$C$21/'基本数据输入&amp;测算结果'!$C$22,"无数据/数据缺失")</f>
        <v>无数据/数据缺失</v>
      </c>
      <c r="DA145" s="42">
        <f>IF(CZ145&lt;0,0,IF(CZ145="无数据/数据缺失",0,IF('基本数据输入&amp;测算结果'!$C$20*CY145&gt;CZ145,CZ145/'基本数据输入&amp;测算结果'!$C$20*CY145,CY145)))</f>
        <v>0</v>
      </c>
      <c r="DB145" s="49">
        <f t="shared" si="8"/>
        <v>0</v>
      </c>
      <c r="DC145" s="50"/>
      <c r="DD145" s="50"/>
    </row>
    <row r="146" customHeight="1" spans="1:108">
      <c r="A146" s="52" t="s">
        <v>200</v>
      </c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51"/>
      <c r="BC146" s="51"/>
      <c r="BD146" s="51"/>
      <c r="BE146" s="51"/>
      <c r="BF146" s="51"/>
      <c r="BG146" s="51"/>
      <c r="BH146" s="51"/>
      <c r="BI146" s="51"/>
      <c r="BJ146" s="51"/>
      <c r="BK146" s="51"/>
      <c r="BL146" s="51"/>
      <c r="BM146" s="51"/>
      <c r="BN146" s="51"/>
      <c r="BO146" s="51"/>
      <c r="BP146" s="51"/>
      <c r="BQ146" s="51"/>
      <c r="BR146" s="51"/>
      <c r="BS146" s="51"/>
      <c r="BT146" s="51"/>
      <c r="BU146" s="51"/>
      <c r="BV146" s="51"/>
      <c r="BW146" s="51"/>
      <c r="BX146" s="51"/>
      <c r="BY146" s="51"/>
      <c r="BZ146" s="51"/>
      <c r="CA146" s="51"/>
      <c r="CB146" s="51"/>
      <c r="CC146" s="51"/>
      <c r="CD146" s="51"/>
      <c r="CE146" s="51"/>
      <c r="CF146" s="51"/>
      <c r="CG146" s="51"/>
      <c r="CH146" s="51"/>
      <c r="CI146" s="51"/>
      <c r="CJ146" s="51"/>
      <c r="CK146" s="51"/>
      <c r="CL146" s="51"/>
      <c r="CM146" s="51"/>
      <c r="CN146" s="51"/>
      <c r="CO146" s="51"/>
      <c r="CP146" s="51"/>
      <c r="CQ146" s="51"/>
      <c r="CR146" s="51"/>
      <c r="CS146" s="51"/>
      <c r="CT146" s="42" t="str">
        <f>IFERROR(('基本数据输入&amp;测算结果'!$C$19*7-AVERAGE(B146:Y146,CP146:CS146)*7-'基本数据输入&amp;测算结果'!$C$23*7)/'基本数据输入&amp;测算结果'!$C$21*'基本数据输入&amp;测算结果'!$C$22,"无数据/数据缺失")</f>
        <v>无数据/数据缺失</v>
      </c>
      <c r="CU146" s="42">
        <f>IF(CT146&lt;0,0,IF(CT146="无数据/数据缺失",0%,IF(CT146&gt;'基本数据输入&amp;测算结果'!$C$20,100%,CT146/'基本数据输入&amp;测算结果'!$C$20)))</f>
        <v>0</v>
      </c>
      <c r="CV146" s="42" t="str">
        <f>IFERROR((AVERAGE(Z146:AG146)*2-'基本数据输入&amp;测算结果'!$C$24*2)/'基本数据输入&amp;测算结果'!$C$21/'基本数据输入&amp;测算结果'!$C$22,"无数据/数据缺失")</f>
        <v>无数据/数据缺失</v>
      </c>
      <c r="CW146" s="42">
        <f>IF(CV146&lt;0,0,IF(CV146="无数据/数据缺失",0%,IF(CV146&gt;'基本数据输入&amp;测算结果'!$C$20*CU146,CU146,CV146/'基本数据输入&amp;测算结果'!$C$20*CU146)))</f>
        <v>0</v>
      </c>
      <c r="CX146" s="42" t="str">
        <f>IFERROR(('基本数据输入&amp;测算结果'!$C$19*3-AVERAGE(AT146:BE146)*3-'基本数据输入&amp;测算结果'!$C$23*3)/'基本数据输入&amp;测算结果'!$C$21*'基本数据输入&amp;测算结果'!$C$22,"无数据/数据缺失")</f>
        <v>无数据/数据缺失</v>
      </c>
      <c r="CY146" s="42">
        <f>IF(CX146&lt;0,0,IF(CX146="无数据/数据缺失",0%,IF(CX146&gt;'基本数据输入&amp;测算结果'!$C$20,100%,CX146/'基本数据输入&amp;测算结果'!$C$20)))</f>
        <v>0</v>
      </c>
      <c r="CZ146" s="42" t="str">
        <f>IFERROR((AVERAGE(BN146:CK146)*6-'基本数据输入&amp;测算结果'!$C$24*6)/'基本数据输入&amp;测算结果'!$C$21/'基本数据输入&amp;测算结果'!$C$22,"无数据/数据缺失")</f>
        <v>无数据/数据缺失</v>
      </c>
      <c r="DA146" s="42">
        <f>IF(CZ146&lt;0,0,IF(CZ146="无数据/数据缺失",0,IF('基本数据输入&amp;测算结果'!$C$20*CY146&gt;CZ146,CZ146/'基本数据输入&amp;测算结果'!$C$20*CY146,CY146)))</f>
        <v>0</v>
      </c>
      <c r="DB146" s="49">
        <f t="shared" si="8"/>
        <v>0</v>
      </c>
      <c r="DC146" s="50"/>
      <c r="DD146" s="50"/>
    </row>
    <row r="147" customHeight="1" spans="1:108">
      <c r="A147" s="52" t="s">
        <v>201</v>
      </c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51"/>
      <c r="BC147" s="51"/>
      <c r="BD147" s="51"/>
      <c r="BE147" s="51"/>
      <c r="BF147" s="51"/>
      <c r="BG147" s="51"/>
      <c r="BH147" s="51"/>
      <c r="BI147" s="51"/>
      <c r="BJ147" s="51"/>
      <c r="BK147" s="51"/>
      <c r="BL147" s="51"/>
      <c r="BM147" s="51"/>
      <c r="BN147" s="51"/>
      <c r="BO147" s="51"/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1"/>
      <c r="CA147" s="51"/>
      <c r="CB147" s="51"/>
      <c r="CC147" s="51"/>
      <c r="CD147" s="51"/>
      <c r="CE147" s="51"/>
      <c r="CF147" s="51"/>
      <c r="CG147" s="51"/>
      <c r="CH147" s="51"/>
      <c r="CI147" s="51"/>
      <c r="CJ147" s="51"/>
      <c r="CK147" s="51"/>
      <c r="CL147" s="51"/>
      <c r="CM147" s="51"/>
      <c r="CN147" s="51"/>
      <c r="CO147" s="51"/>
      <c r="CP147" s="51"/>
      <c r="CQ147" s="51"/>
      <c r="CR147" s="51"/>
      <c r="CS147" s="51"/>
      <c r="CT147" s="42" t="str">
        <f>IFERROR(('基本数据输入&amp;测算结果'!$C$19*7-AVERAGE(B147:Y147,CP147:CS147)*7-'基本数据输入&amp;测算结果'!$C$23*7)/'基本数据输入&amp;测算结果'!$C$21*'基本数据输入&amp;测算结果'!$C$22,"无数据/数据缺失")</f>
        <v>无数据/数据缺失</v>
      </c>
      <c r="CU147" s="42">
        <f>IF(CT147&lt;0,0,IF(CT147="无数据/数据缺失",0%,IF(CT147&gt;'基本数据输入&amp;测算结果'!$C$20,100%,CT147/'基本数据输入&amp;测算结果'!$C$20)))</f>
        <v>0</v>
      </c>
      <c r="CV147" s="42" t="str">
        <f>IFERROR((AVERAGE(Z147:AG147)*2-'基本数据输入&amp;测算结果'!$C$24*2)/'基本数据输入&amp;测算结果'!$C$21/'基本数据输入&amp;测算结果'!$C$22,"无数据/数据缺失")</f>
        <v>无数据/数据缺失</v>
      </c>
      <c r="CW147" s="42">
        <f>IF(CV147&lt;0,0,IF(CV147="无数据/数据缺失",0%,IF(CV147&gt;'基本数据输入&amp;测算结果'!$C$20*CU147,CU147,CV147/'基本数据输入&amp;测算结果'!$C$20*CU147)))</f>
        <v>0</v>
      </c>
      <c r="CX147" s="42" t="str">
        <f>IFERROR(('基本数据输入&amp;测算结果'!$C$19*3-AVERAGE(AT147:BE147)*3-'基本数据输入&amp;测算结果'!$C$23*3)/'基本数据输入&amp;测算结果'!$C$21*'基本数据输入&amp;测算结果'!$C$22,"无数据/数据缺失")</f>
        <v>无数据/数据缺失</v>
      </c>
      <c r="CY147" s="42">
        <f>IF(CX147&lt;0,0,IF(CX147="无数据/数据缺失",0%,IF(CX147&gt;'基本数据输入&amp;测算结果'!$C$20,100%,CX147/'基本数据输入&amp;测算结果'!$C$20)))</f>
        <v>0</v>
      </c>
      <c r="CZ147" s="42" t="str">
        <f>IFERROR((AVERAGE(BN147:CK147)*6-'基本数据输入&amp;测算结果'!$C$24*6)/'基本数据输入&amp;测算结果'!$C$21/'基本数据输入&amp;测算结果'!$C$22,"无数据/数据缺失")</f>
        <v>无数据/数据缺失</v>
      </c>
      <c r="DA147" s="42">
        <f>IF(CZ147&lt;0,0,IF(CZ147="无数据/数据缺失",0,IF('基本数据输入&amp;测算结果'!$C$20*CY147&gt;CZ147,CZ147/'基本数据输入&amp;测算结果'!$C$20*CY147,CY147)))</f>
        <v>0</v>
      </c>
      <c r="DB147" s="49">
        <f t="shared" si="8"/>
        <v>0</v>
      </c>
      <c r="DC147" s="50"/>
      <c r="DD147" s="50"/>
    </row>
    <row r="148" customHeight="1" spans="1:108">
      <c r="A148" s="52" t="s">
        <v>202</v>
      </c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51"/>
      <c r="AQ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51"/>
      <c r="BC148" s="51"/>
      <c r="BD148" s="51"/>
      <c r="BE148" s="51"/>
      <c r="BF148" s="51"/>
      <c r="BG148" s="51"/>
      <c r="BH148" s="51"/>
      <c r="BI148" s="51"/>
      <c r="BJ148" s="51"/>
      <c r="BK148" s="51"/>
      <c r="BL148" s="51"/>
      <c r="BM148" s="51"/>
      <c r="BN148" s="51"/>
      <c r="BO148" s="51"/>
      <c r="BP148" s="51"/>
      <c r="BQ148" s="51"/>
      <c r="BR148" s="51"/>
      <c r="BS148" s="51"/>
      <c r="BT148" s="51"/>
      <c r="BU148" s="51"/>
      <c r="BV148" s="51"/>
      <c r="BW148" s="51"/>
      <c r="BX148" s="51"/>
      <c r="BY148" s="51"/>
      <c r="BZ148" s="51"/>
      <c r="CA148" s="51"/>
      <c r="CB148" s="51"/>
      <c r="CC148" s="51"/>
      <c r="CD148" s="51"/>
      <c r="CE148" s="51"/>
      <c r="CF148" s="51"/>
      <c r="CG148" s="51"/>
      <c r="CH148" s="51"/>
      <c r="CI148" s="51"/>
      <c r="CJ148" s="51"/>
      <c r="CK148" s="51"/>
      <c r="CL148" s="51"/>
      <c r="CM148" s="51"/>
      <c r="CN148" s="51"/>
      <c r="CO148" s="51"/>
      <c r="CP148" s="51"/>
      <c r="CQ148" s="51"/>
      <c r="CR148" s="51"/>
      <c r="CS148" s="51"/>
      <c r="CT148" s="42" t="str">
        <f>IFERROR(('基本数据输入&amp;测算结果'!$C$19*7-AVERAGE(B148:Y148,CP148:CS148)*7-'基本数据输入&amp;测算结果'!$C$23*7)/'基本数据输入&amp;测算结果'!$C$21*'基本数据输入&amp;测算结果'!$C$22,"无数据/数据缺失")</f>
        <v>无数据/数据缺失</v>
      </c>
      <c r="CU148" s="42">
        <f>IF(CT148&lt;0,0,IF(CT148="无数据/数据缺失",0%,IF(CT148&gt;'基本数据输入&amp;测算结果'!$C$20,100%,CT148/'基本数据输入&amp;测算结果'!$C$20)))</f>
        <v>0</v>
      </c>
      <c r="CV148" s="42" t="str">
        <f>IFERROR((AVERAGE(Z148:AG148)*2-'基本数据输入&amp;测算结果'!$C$24*2)/'基本数据输入&amp;测算结果'!$C$21/'基本数据输入&amp;测算结果'!$C$22,"无数据/数据缺失")</f>
        <v>无数据/数据缺失</v>
      </c>
      <c r="CW148" s="42">
        <f>IF(CV148&lt;0,0,IF(CV148="无数据/数据缺失",0%,IF(CV148&gt;'基本数据输入&amp;测算结果'!$C$20*CU148,CU148,CV148/'基本数据输入&amp;测算结果'!$C$20*CU148)))</f>
        <v>0</v>
      </c>
      <c r="CX148" s="42" t="str">
        <f>IFERROR(('基本数据输入&amp;测算结果'!$C$19*3-AVERAGE(AT148:BE148)*3-'基本数据输入&amp;测算结果'!$C$23*3)/'基本数据输入&amp;测算结果'!$C$21*'基本数据输入&amp;测算结果'!$C$22,"无数据/数据缺失")</f>
        <v>无数据/数据缺失</v>
      </c>
      <c r="CY148" s="42">
        <f>IF(CX148&lt;0,0,IF(CX148="无数据/数据缺失",0%,IF(CX148&gt;'基本数据输入&amp;测算结果'!$C$20,100%,CX148/'基本数据输入&amp;测算结果'!$C$20)))</f>
        <v>0</v>
      </c>
      <c r="CZ148" s="42" t="str">
        <f>IFERROR((AVERAGE(BN148:CK148)*6-'基本数据输入&amp;测算结果'!$C$24*6)/'基本数据输入&amp;测算结果'!$C$21/'基本数据输入&amp;测算结果'!$C$22,"无数据/数据缺失")</f>
        <v>无数据/数据缺失</v>
      </c>
      <c r="DA148" s="42">
        <f>IF(CZ148&lt;0,0,IF(CZ148="无数据/数据缺失",0,IF('基本数据输入&amp;测算结果'!$C$20*CY148&gt;CZ148,CZ148/'基本数据输入&amp;测算结果'!$C$20*CY148,CY148)))</f>
        <v>0</v>
      </c>
      <c r="DB148" s="49">
        <f t="shared" si="8"/>
        <v>0</v>
      </c>
      <c r="DC148" s="50"/>
      <c r="DD148" s="50"/>
    </row>
    <row r="149" customHeight="1" spans="1:108">
      <c r="A149" s="52" t="s">
        <v>203</v>
      </c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51"/>
      <c r="BC149" s="51"/>
      <c r="BD149" s="51"/>
      <c r="BE149" s="51"/>
      <c r="BF149" s="51"/>
      <c r="BG149" s="51"/>
      <c r="BH149" s="51"/>
      <c r="BI149" s="51"/>
      <c r="BJ149" s="51"/>
      <c r="BK149" s="51"/>
      <c r="BL149" s="51"/>
      <c r="BM149" s="51"/>
      <c r="BN149" s="51"/>
      <c r="BO149" s="51"/>
      <c r="BP149" s="51"/>
      <c r="BQ149" s="51"/>
      <c r="BR149" s="51"/>
      <c r="BS149" s="51"/>
      <c r="BT149" s="51"/>
      <c r="BU149" s="51"/>
      <c r="BV149" s="51"/>
      <c r="BW149" s="51"/>
      <c r="BX149" s="51"/>
      <c r="BY149" s="51"/>
      <c r="BZ149" s="51"/>
      <c r="CA149" s="51"/>
      <c r="CB149" s="51"/>
      <c r="CC149" s="51"/>
      <c r="CD149" s="51"/>
      <c r="CE149" s="51"/>
      <c r="CF149" s="51"/>
      <c r="CG149" s="51"/>
      <c r="CH149" s="51"/>
      <c r="CI149" s="51"/>
      <c r="CJ149" s="51"/>
      <c r="CK149" s="51"/>
      <c r="CL149" s="51"/>
      <c r="CM149" s="51"/>
      <c r="CN149" s="51"/>
      <c r="CO149" s="51"/>
      <c r="CP149" s="51"/>
      <c r="CQ149" s="51"/>
      <c r="CR149" s="51"/>
      <c r="CS149" s="51"/>
      <c r="CT149" s="42" t="str">
        <f>IFERROR(('基本数据输入&amp;测算结果'!$C$19*7-AVERAGE(B149:Y149,CP149:CS149)*7-'基本数据输入&amp;测算结果'!$C$23*7)/'基本数据输入&amp;测算结果'!$C$21*'基本数据输入&amp;测算结果'!$C$22,"无数据/数据缺失")</f>
        <v>无数据/数据缺失</v>
      </c>
      <c r="CU149" s="42">
        <f>IF(CT149&lt;0,0,IF(CT149="无数据/数据缺失",0%,IF(CT149&gt;'基本数据输入&amp;测算结果'!$C$20,100%,CT149/'基本数据输入&amp;测算结果'!$C$20)))</f>
        <v>0</v>
      </c>
      <c r="CV149" s="42" t="str">
        <f>IFERROR((AVERAGE(Z149:AG149)*2-'基本数据输入&amp;测算结果'!$C$24*2)/'基本数据输入&amp;测算结果'!$C$21/'基本数据输入&amp;测算结果'!$C$22,"无数据/数据缺失")</f>
        <v>无数据/数据缺失</v>
      </c>
      <c r="CW149" s="42">
        <f>IF(CV149&lt;0,0,IF(CV149="无数据/数据缺失",0%,IF(CV149&gt;'基本数据输入&amp;测算结果'!$C$20*CU149,CU149,CV149/'基本数据输入&amp;测算结果'!$C$20*CU149)))</f>
        <v>0</v>
      </c>
      <c r="CX149" s="42" t="str">
        <f>IFERROR(('基本数据输入&amp;测算结果'!$C$19*3-AVERAGE(AT149:BE149)*3-'基本数据输入&amp;测算结果'!$C$23*3)/'基本数据输入&amp;测算结果'!$C$21*'基本数据输入&amp;测算结果'!$C$22,"无数据/数据缺失")</f>
        <v>无数据/数据缺失</v>
      </c>
      <c r="CY149" s="42">
        <f>IF(CX149&lt;0,0,IF(CX149="无数据/数据缺失",0%,IF(CX149&gt;'基本数据输入&amp;测算结果'!$C$20,100%,CX149/'基本数据输入&amp;测算结果'!$C$20)))</f>
        <v>0</v>
      </c>
      <c r="CZ149" s="42" t="str">
        <f>IFERROR((AVERAGE(BN149:CK149)*6-'基本数据输入&amp;测算结果'!$C$24*6)/'基本数据输入&amp;测算结果'!$C$21/'基本数据输入&amp;测算结果'!$C$22,"无数据/数据缺失")</f>
        <v>无数据/数据缺失</v>
      </c>
      <c r="DA149" s="42">
        <f>IF(CZ149&lt;0,0,IF(CZ149="无数据/数据缺失",0,IF('基本数据输入&amp;测算结果'!$C$20*CY149&gt;CZ149,CZ149/'基本数据输入&amp;测算结果'!$C$20*CY149,CY149)))</f>
        <v>0</v>
      </c>
      <c r="DB149" s="49">
        <f t="shared" si="8"/>
        <v>0</v>
      </c>
      <c r="DC149" s="50"/>
      <c r="DD149" s="50"/>
    </row>
    <row r="150" customHeight="1" spans="1:108">
      <c r="A150" s="52" t="s">
        <v>204</v>
      </c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51"/>
      <c r="AQ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51"/>
      <c r="BC150" s="51"/>
      <c r="BD150" s="51"/>
      <c r="BE150" s="51"/>
      <c r="BF150" s="51"/>
      <c r="BG150" s="51"/>
      <c r="BH150" s="51"/>
      <c r="BI150" s="51"/>
      <c r="BJ150" s="51"/>
      <c r="BK150" s="51"/>
      <c r="BL150" s="51"/>
      <c r="BM150" s="51"/>
      <c r="BN150" s="51"/>
      <c r="BO150" s="51"/>
      <c r="BP150" s="51"/>
      <c r="BQ150" s="51"/>
      <c r="BR150" s="51"/>
      <c r="BS150" s="51"/>
      <c r="BT150" s="51"/>
      <c r="BU150" s="51"/>
      <c r="BV150" s="51"/>
      <c r="BW150" s="51"/>
      <c r="BX150" s="51"/>
      <c r="BY150" s="51"/>
      <c r="BZ150" s="51"/>
      <c r="CA150" s="51"/>
      <c r="CB150" s="51"/>
      <c r="CC150" s="51"/>
      <c r="CD150" s="51"/>
      <c r="CE150" s="51"/>
      <c r="CF150" s="51"/>
      <c r="CG150" s="51"/>
      <c r="CH150" s="51"/>
      <c r="CI150" s="51"/>
      <c r="CJ150" s="51"/>
      <c r="CK150" s="51"/>
      <c r="CL150" s="51"/>
      <c r="CM150" s="51"/>
      <c r="CN150" s="51"/>
      <c r="CO150" s="51"/>
      <c r="CP150" s="51"/>
      <c r="CQ150" s="51"/>
      <c r="CR150" s="51"/>
      <c r="CS150" s="51"/>
      <c r="CT150" s="42" t="str">
        <f>IFERROR(('基本数据输入&amp;测算结果'!$C$19*7-AVERAGE(B150:Y150,CP150:CS150)*7-'基本数据输入&amp;测算结果'!$C$23*7)/'基本数据输入&amp;测算结果'!$C$21*'基本数据输入&amp;测算结果'!$C$22,"无数据/数据缺失")</f>
        <v>无数据/数据缺失</v>
      </c>
      <c r="CU150" s="42">
        <f>IF(CT150&lt;0,0,IF(CT150="无数据/数据缺失",0%,IF(CT150&gt;'基本数据输入&amp;测算结果'!$C$20,100%,CT150/'基本数据输入&amp;测算结果'!$C$20)))</f>
        <v>0</v>
      </c>
      <c r="CV150" s="42" t="str">
        <f>IFERROR((AVERAGE(Z150:AG150)*2-'基本数据输入&amp;测算结果'!$C$24*2)/'基本数据输入&amp;测算结果'!$C$21/'基本数据输入&amp;测算结果'!$C$22,"无数据/数据缺失")</f>
        <v>无数据/数据缺失</v>
      </c>
      <c r="CW150" s="42">
        <f>IF(CV150&lt;0,0,IF(CV150="无数据/数据缺失",0%,IF(CV150&gt;'基本数据输入&amp;测算结果'!$C$20*CU150,CU150,CV150/'基本数据输入&amp;测算结果'!$C$20*CU150)))</f>
        <v>0</v>
      </c>
      <c r="CX150" s="42" t="str">
        <f>IFERROR(('基本数据输入&amp;测算结果'!$C$19*3-AVERAGE(AT150:BE150)*3-'基本数据输入&amp;测算结果'!$C$23*3)/'基本数据输入&amp;测算结果'!$C$21*'基本数据输入&amp;测算结果'!$C$22,"无数据/数据缺失")</f>
        <v>无数据/数据缺失</v>
      </c>
      <c r="CY150" s="42">
        <f>IF(CX150&lt;0,0,IF(CX150="无数据/数据缺失",0%,IF(CX150&gt;'基本数据输入&amp;测算结果'!$C$20,100%,CX150/'基本数据输入&amp;测算结果'!$C$20)))</f>
        <v>0</v>
      </c>
      <c r="CZ150" s="42" t="str">
        <f>IFERROR((AVERAGE(BN150:CK150)*6-'基本数据输入&amp;测算结果'!$C$24*6)/'基本数据输入&amp;测算结果'!$C$21/'基本数据输入&amp;测算结果'!$C$22,"无数据/数据缺失")</f>
        <v>无数据/数据缺失</v>
      </c>
      <c r="DA150" s="42">
        <f>IF(CZ150&lt;0,0,IF(CZ150="无数据/数据缺失",0,IF('基本数据输入&amp;测算结果'!$C$20*CY150&gt;CZ150,CZ150/'基本数据输入&amp;测算结果'!$C$20*CY150,CY150)))</f>
        <v>0</v>
      </c>
      <c r="DB150" s="49">
        <f t="shared" si="8"/>
        <v>0</v>
      </c>
      <c r="DC150" s="50"/>
      <c r="DD150" s="50"/>
    </row>
    <row r="151" customHeight="1" spans="1:108">
      <c r="A151" s="52" t="s">
        <v>205</v>
      </c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51"/>
      <c r="AQ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51"/>
      <c r="BC151" s="51"/>
      <c r="BD151" s="51"/>
      <c r="BE151" s="51"/>
      <c r="BF151" s="51"/>
      <c r="BG151" s="51"/>
      <c r="BH151" s="51"/>
      <c r="BI151" s="51"/>
      <c r="BJ151" s="51"/>
      <c r="BK151" s="51"/>
      <c r="BL151" s="51"/>
      <c r="BM151" s="51"/>
      <c r="BN151" s="51"/>
      <c r="BO151" s="51"/>
      <c r="BP151" s="51"/>
      <c r="BQ151" s="51"/>
      <c r="BR151" s="51"/>
      <c r="BS151" s="51"/>
      <c r="BT151" s="51"/>
      <c r="BU151" s="51"/>
      <c r="BV151" s="51"/>
      <c r="BW151" s="51"/>
      <c r="BX151" s="51"/>
      <c r="BY151" s="51"/>
      <c r="BZ151" s="51"/>
      <c r="CA151" s="51"/>
      <c r="CB151" s="51"/>
      <c r="CC151" s="51"/>
      <c r="CD151" s="51"/>
      <c r="CE151" s="51"/>
      <c r="CF151" s="51"/>
      <c r="CG151" s="51"/>
      <c r="CH151" s="51"/>
      <c r="CI151" s="51"/>
      <c r="CJ151" s="51"/>
      <c r="CK151" s="51"/>
      <c r="CL151" s="51"/>
      <c r="CM151" s="51"/>
      <c r="CN151" s="51"/>
      <c r="CO151" s="51"/>
      <c r="CP151" s="51"/>
      <c r="CQ151" s="51"/>
      <c r="CR151" s="51"/>
      <c r="CS151" s="51"/>
      <c r="CT151" s="42" t="str">
        <f>IFERROR(('基本数据输入&amp;测算结果'!$C$19*7-AVERAGE(B151:Y151,CP151:CS151)*7-'基本数据输入&amp;测算结果'!$C$23*7)/'基本数据输入&amp;测算结果'!$C$21*'基本数据输入&amp;测算结果'!$C$22,"无数据/数据缺失")</f>
        <v>无数据/数据缺失</v>
      </c>
      <c r="CU151" s="42">
        <f>IF(CT151&lt;0,0,IF(CT151="无数据/数据缺失",0%,IF(CT151&gt;'基本数据输入&amp;测算结果'!$C$20,100%,CT151/'基本数据输入&amp;测算结果'!$C$20)))</f>
        <v>0</v>
      </c>
      <c r="CV151" s="42" t="str">
        <f>IFERROR((AVERAGE(Z151:AG151)*2-'基本数据输入&amp;测算结果'!$C$24*2)/'基本数据输入&amp;测算结果'!$C$21/'基本数据输入&amp;测算结果'!$C$22,"无数据/数据缺失")</f>
        <v>无数据/数据缺失</v>
      </c>
      <c r="CW151" s="42">
        <f>IF(CV151&lt;0,0,IF(CV151="无数据/数据缺失",0%,IF(CV151&gt;'基本数据输入&amp;测算结果'!$C$20*CU151,CU151,CV151/'基本数据输入&amp;测算结果'!$C$20*CU151)))</f>
        <v>0</v>
      </c>
      <c r="CX151" s="42" t="str">
        <f>IFERROR(('基本数据输入&amp;测算结果'!$C$19*3-AVERAGE(AT151:BE151)*3-'基本数据输入&amp;测算结果'!$C$23*3)/'基本数据输入&amp;测算结果'!$C$21*'基本数据输入&amp;测算结果'!$C$22,"无数据/数据缺失")</f>
        <v>无数据/数据缺失</v>
      </c>
      <c r="CY151" s="42">
        <f>IF(CX151&lt;0,0,IF(CX151="无数据/数据缺失",0%,IF(CX151&gt;'基本数据输入&amp;测算结果'!$C$20,100%,CX151/'基本数据输入&amp;测算结果'!$C$20)))</f>
        <v>0</v>
      </c>
      <c r="CZ151" s="42" t="str">
        <f>IFERROR((AVERAGE(BN151:CK151)*6-'基本数据输入&amp;测算结果'!$C$24*6)/'基本数据输入&amp;测算结果'!$C$21/'基本数据输入&amp;测算结果'!$C$22,"无数据/数据缺失")</f>
        <v>无数据/数据缺失</v>
      </c>
      <c r="DA151" s="42">
        <f>IF(CZ151&lt;0,0,IF(CZ151="无数据/数据缺失",0,IF('基本数据输入&amp;测算结果'!$C$20*CY151&gt;CZ151,CZ151/'基本数据输入&amp;测算结果'!$C$20*CY151,CY151)))</f>
        <v>0</v>
      </c>
      <c r="DB151" s="49">
        <f t="shared" si="8"/>
        <v>0</v>
      </c>
      <c r="DC151" s="50"/>
      <c r="DD151" s="50"/>
    </row>
    <row r="152" s="42" customFormat="1" customHeight="1" spans="1:108">
      <c r="A152" s="52" t="s">
        <v>206</v>
      </c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51"/>
      <c r="AQ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51"/>
      <c r="BC152" s="51"/>
      <c r="BD152" s="51"/>
      <c r="BE152" s="51"/>
      <c r="BF152" s="51"/>
      <c r="BG152" s="51"/>
      <c r="BH152" s="51"/>
      <c r="BI152" s="51"/>
      <c r="BJ152" s="51"/>
      <c r="BK152" s="51"/>
      <c r="BL152" s="51"/>
      <c r="BM152" s="51"/>
      <c r="BN152" s="51"/>
      <c r="BO152" s="51"/>
      <c r="BP152" s="51"/>
      <c r="BQ152" s="51"/>
      <c r="BR152" s="51"/>
      <c r="BS152" s="51"/>
      <c r="BT152" s="51"/>
      <c r="BU152" s="51"/>
      <c r="BV152" s="51"/>
      <c r="BW152" s="51"/>
      <c r="BX152" s="51"/>
      <c r="BY152" s="51"/>
      <c r="BZ152" s="51"/>
      <c r="CA152" s="51"/>
      <c r="CB152" s="51"/>
      <c r="CC152" s="51"/>
      <c r="CD152" s="51"/>
      <c r="CE152" s="51"/>
      <c r="CF152" s="51"/>
      <c r="CG152" s="51"/>
      <c r="CH152" s="51"/>
      <c r="CI152" s="51"/>
      <c r="CJ152" s="51"/>
      <c r="CK152" s="51"/>
      <c r="CL152" s="51"/>
      <c r="CM152" s="51"/>
      <c r="CN152" s="51"/>
      <c r="CO152" s="51"/>
      <c r="CP152" s="51"/>
      <c r="CQ152" s="51"/>
      <c r="CR152" s="51"/>
      <c r="CS152" s="51"/>
      <c r="CT152" s="42" t="str">
        <f>IFERROR(('基本数据输入&amp;测算结果'!$C$19*7-AVERAGE(B152:Y152,CP152:CS152)*7-'基本数据输入&amp;测算结果'!$C$23*7)/'基本数据输入&amp;测算结果'!$C$21*'基本数据输入&amp;测算结果'!$C$22,"无数据/数据缺失")</f>
        <v>无数据/数据缺失</v>
      </c>
      <c r="CU152" s="42">
        <f>IF(CT152&lt;0,0,IF(CT152="无数据/数据缺失",0%,IF(CT152&gt;'基本数据输入&amp;测算结果'!$C$20,100%,CT152/'基本数据输入&amp;测算结果'!$C$20)))</f>
        <v>0</v>
      </c>
      <c r="CV152" s="42" t="str">
        <f>IFERROR((AVERAGE(Z152:AG152)*2-'基本数据输入&amp;测算结果'!$C$24*2)/'基本数据输入&amp;测算结果'!$C$21/'基本数据输入&amp;测算结果'!$C$22,"无数据/数据缺失")</f>
        <v>无数据/数据缺失</v>
      </c>
      <c r="CW152" s="42">
        <f>IF(CV152&lt;0,0,IF(CV152="无数据/数据缺失",0%,IF(CV152&gt;'基本数据输入&amp;测算结果'!$C$20*CU152,CU152,CV152/'基本数据输入&amp;测算结果'!$C$20*CU152)))</f>
        <v>0</v>
      </c>
      <c r="CX152" s="42" t="str">
        <f>IFERROR(('基本数据输入&amp;测算结果'!$C$19*3-AVERAGE(AT152:BE152)*3-'基本数据输入&amp;测算结果'!$C$23*3)/'基本数据输入&amp;测算结果'!$C$21*'基本数据输入&amp;测算结果'!$C$22,"无数据/数据缺失")</f>
        <v>无数据/数据缺失</v>
      </c>
      <c r="CY152" s="42">
        <f>IF(CX152&lt;0,0,IF(CX152="无数据/数据缺失",0%,IF(CX152&gt;'基本数据输入&amp;测算结果'!$C$20,100%,CX152/'基本数据输入&amp;测算结果'!$C$20)))</f>
        <v>0</v>
      </c>
      <c r="CZ152" s="42" t="str">
        <f>IFERROR((AVERAGE(BN152:CK152)*6-'基本数据输入&amp;测算结果'!$C$24*6)/'基本数据输入&amp;测算结果'!$C$21/'基本数据输入&amp;测算结果'!$C$22,"无数据/数据缺失")</f>
        <v>无数据/数据缺失</v>
      </c>
      <c r="DA152" s="42">
        <f>IF(CZ152&lt;0,0,IF(CZ152="无数据/数据缺失",0,IF('基本数据输入&amp;测算结果'!$C$20*CY152&gt;CZ152,CZ152/'基本数据输入&amp;测算结果'!$C$20*CY152,CY152)))</f>
        <v>0</v>
      </c>
      <c r="DB152" s="49">
        <f t="shared" si="8"/>
        <v>0</v>
      </c>
      <c r="DC152" s="50"/>
      <c r="DD152" s="50"/>
    </row>
    <row r="153" customHeight="1" spans="1:108">
      <c r="A153" s="52" t="s">
        <v>207</v>
      </c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51"/>
      <c r="AQ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51"/>
      <c r="BC153" s="51"/>
      <c r="BD153" s="51"/>
      <c r="BE153" s="51"/>
      <c r="BF153" s="51"/>
      <c r="BG153" s="51"/>
      <c r="BH153" s="51"/>
      <c r="BI153" s="51"/>
      <c r="BJ153" s="51"/>
      <c r="BK153" s="51"/>
      <c r="BL153" s="51"/>
      <c r="BM153" s="51"/>
      <c r="BN153" s="51"/>
      <c r="BO153" s="51"/>
      <c r="BP153" s="51"/>
      <c r="BQ153" s="51"/>
      <c r="BR153" s="51"/>
      <c r="BS153" s="51"/>
      <c r="BT153" s="51"/>
      <c r="BU153" s="51"/>
      <c r="BV153" s="51"/>
      <c r="BW153" s="51"/>
      <c r="BX153" s="51"/>
      <c r="BY153" s="51"/>
      <c r="BZ153" s="51"/>
      <c r="CA153" s="51"/>
      <c r="CB153" s="51"/>
      <c r="CC153" s="51"/>
      <c r="CD153" s="51"/>
      <c r="CE153" s="51"/>
      <c r="CF153" s="51"/>
      <c r="CG153" s="51"/>
      <c r="CH153" s="51"/>
      <c r="CI153" s="51"/>
      <c r="CJ153" s="51"/>
      <c r="CK153" s="51"/>
      <c r="CL153" s="51"/>
      <c r="CM153" s="51"/>
      <c r="CN153" s="51"/>
      <c r="CO153" s="51"/>
      <c r="CP153" s="51"/>
      <c r="CQ153" s="51"/>
      <c r="CR153" s="51"/>
      <c r="CS153" s="51"/>
      <c r="CT153" s="42" t="str">
        <f>IFERROR(('基本数据输入&amp;测算结果'!$C$19*7-AVERAGE(B153:Y153,CP153:CS153)*7-'基本数据输入&amp;测算结果'!$C$23*7)/'基本数据输入&amp;测算结果'!$C$21*'基本数据输入&amp;测算结果'!$C$22,"无数据/数据缺失")</f>
        <v>无数据/数据缺失</v>
      </c>
      <c r="CU153" s="42">
        <f>IF(CT153&lt;0,0,IF(CT153="无数据/数据缺失",0%,IF(CT153&gt;'基本数据输入&amp;测算结果'!$C$20,100%,CT153/'基本数据输入&amp;测算结果'!$C$20)))</f>
        <v>0</v>
      </c>
      <c r="CV153" s="42" t="str">
        <f>IFERROR((AVERAGE(Z153:AG153)*2-'基本数据输入&amp;测算结果'!$C$24*2)/'基本数据输入&amp;测算结果'!$C$21/'基本数据输入&amp;测算结果'!$C$22,"无数据/数据缺失")</f>
        <v>无数据/数据缺失</v>
      </c>
      <c r="CW153" s="42">
        <f>IF(CV153&lt;0,0,IF(CV153="无数据/数据缺失",0%,IF(CV153&gt;'基本数据输入&amp;测算结果'!$C$20*CU153,CU153,CV153/'基本数据输入&amp;测算结果'!$C$20*CU153)))</f>
        <v>0</v>
      </c>
      <c r="CX153" s="42" t="str">
        <f>IFERROR(('基本数据输入&amp;测算结果'!$C$19*3-AVERAGE(AT153:BE153)*3-'基本数据输入&amp;测算结果'!$C$23*3)/'基本数据输入&amp;测算结果'!$C$21*'基本数据输入&amp;测算结果'!$C$22,"无数据/数据缺失")</f>
        <v>无数据/数据缺失</v>
      </c>
      <c r="CY153" s="42">
        <f>IF(CX153&lt;0,0,IF(CX153="无数据/数据缺失",0%,IF(CX153&gt;'基本数据输入&amp;测算结果'!$C$20,100%,CX153/'基本数据输入&amp;测算结果'!$C$20)))</f>
        <v>0</v>
      </c>
      <c r="CZ153" s="42" t="str">
        <f>IFERROR((AVERAGE(BN153:CK153)*6-'基本数据输入&amp;测算结果'!$C$24*6)/'基本数据输入&amp;测算结果'!$C$21/'基本数据输入&amp;测算结果'!$C$22,"无数据/数据缺失")</f>
        <v>无数据/数据缺失</v>
      </c>
      <c r="DA153" s="42">
        <f>IF(CZ153&lt;0,0,IF(CZ153="无数据/数据缺失",0,IF('基本数据输入&amp;测算结果'!$C$20*CY153&gt;CZ153,CZ153/'基本数据输入&amp;测算结果'!$C$20*CY153,CY153)))</f>
        <v>0</v>
      </c>
      <c r="DB153" s="49">
        <f t="shared" ref="DB153:DB183" si="9">MIN(CU153,CW153)+MIN(CY153,DA153)</f>
        <v>0</v>
      </c>
      <c r="DC153" s="50"/>
      <c r="DD153" s="50"/>
    </row>
    <row r="154" customHeight="1" spans="1:108">
      <c r="A154" s="52" t="s">
        <v>208</v>
      </c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51"/>
      <c r="AQ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51"/>
      <c r="BC154" s="51"/>
      <c r="BD154" s="51"/>
      <c r="BE154" s="51"/>
      <c r="BF154" s="51"/>
      <c r="BG154" s="51"/>
      <c r="BH154" s="51"/>
      <c r="BI154" s="51"/>
      <c r="BJ154" s="51"/>
      <c r="BK154" s="51"/>
      <c r="BL154" s="51"/>
      <c r="BM154" s="51"/>
      <c r="BN154" s="51"/>
      <c r="BO154" s="51"/>
      <c r="BP154" s="51"/>
      <c r="BQ154" s="51"/>
      <c r="BR154" s="51"/>
      <c r="BS154" s="51"/>
      <c r="BT154" s="51"/>
      <c r="BU154" s="51"/>
      <c r="BV154" s="51"/>
      <c r="BW154" s="51"/>
      <c r="BX154" s="51"/>
      <c r="BY154" s="51"/>
      <c r="BZ154" s="51"/>
      <c r="CA154" s="51"/>
      <c r="CB154" s="51"/>
      <c r="CC154" s="51"/>
      <c r="CD154" s="51"/>
      <c r="CE154" s="51"/>
      <c r="CF154" s="51"/>
      <c r="CG154" s="51"/>
      <c r="CH154" s="51"/>
      <c r="CI154" s="51"/>
      <c r="CJ154" s="51"/>
      <c r="CK154" s="51"/>
      <c r="CL154" s="51"/>
      <c r="CM154" s="51"/>
      <c r="CN154" s="51"/>
      <c r="CO154" s="51"/>
      <c r="CP154" s="51"/>
      <c r="CQ154" s="51"/>
      <c r="CR154" s="51"/>
      <c r="CS154" s="51"/>
      <c r="CT154" s="42" t="str">
        <f>IFERROR(('基本数据输入&amp;测算结果'!$C$19*7-AVERAGE(B154:Y154,CP154:CS154)*7-'基本数据输入&amp;测算结果'!$C$23*7)/'基本数据输入&amp;测算结果'!$C$21*'基本数据输入&amp;测算结果'!$C$22,"无数据/数据缺失")</f>
        <v>无数据/数据缺失</v>
      </c>
      <c r="CU154" s="42">
        <f>IF(CT154&lt;0,0,IF(CT154="无数据/数据缺失",0%,IF(CT154&gt;'基本数据输入&amp;测算结果'!$C$20,100%,CT154/'基本数据输入&amp;测算结果'!$C$20)))</f>
        <v>0</v>
      </c>
      <c r="CV154" s="42" t="str">
        <f>IFERROR((AVERAGE(Z154:AG154)*2-'基本数据输入&amp;测算结果'!$C$24*2)/'基本数据输入&amp;测算结果'!$C$21/'基本数据输入&amp;测算结果'!$C$22,"无数据/数据缺失")</f>
        <v>无数据/数据缺失</v>
      </c>
      <c r="CW154" s="42">
        <f>IF(CV154&lt;0,0,IF(CV154="无数据/数据缺失",0%,IF(CV154&gt;'基本数据输入&amp;测算结果'!$C$20*CU154,CU154,CV154/'基本数据输入&amp;测算结果'!$C$20*CU154)))</f>
        <v>0</v>
      </c>
      <c r="CX154" s="42" t="str">
        <f>IFERROR(('基本数据输入&amp;测算结果'!$C$19*3-AVERAGE(AT154:BE154)*3-'基本数据输入&amp;测算结果'!$C$23*3)/'基本数据输入&amp;测算结果'!$C$21*'基本数据输入&amp;测算结果'!$C$22,"无数据/数据缺失")</f>
        <v>无数据/数据缺失</v>
      </c>
      <c r="CY154" s="42">
        <f>IF(CX154&lt;0,0,IF(CX154="无数据/数据缺失",0%,IF(CX154&gt;'基本数据输入&amp;测算结果'!$C$20,100%,CX154/'基本数据输入&amp;测算结果'!$C$20)))</f>
        <v>0</v>
      </c>
      <c r="CZ154" s="42" t="str">
        <f>IFERROR((AVERAGE(BN154:CK154)*6-'基本数据输入&amp;测算结果'!$C$24*6)/'基本数据输入&amp;测算结果'!$C$21/'基本数据输入&amp;测算结果'!$C$22,"无数据/数据缺失")</f>
        <v>无数据/数据缺失</v>
      </c>
      <c r="DA154" s="42">
        <f>IF(CZ154&lt;0,0,IF(CZ154="无数据/数据缺失",0,IF('基本数据输入&amp;测算结果'!$C$20*CY154&gt;CZ154,CZ154/'基本数据输入&amp;测算结果'!$C$20*CY154,CY154)))</f>
        <v>0</v>
      </c>
      <c r="DB154" s="49">
        <f t="shared" si="9"/>
        <v>0</v>
      </c>
      <c r="DC154" s="50"/>
      <c r="DD154" s="50"/>
    </row>
    <row r="155" customHeight="1" spans="1:108">
      <c r="A155" s="52" t="s">
        <v>209</v>
      </c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51"/>
      <c r="BC155" s="51"/>
      <c r="BD155" s="51"/>
      <c r="BE155" s="51"/>
      <c r="BF155" s="51"/>
      <c r="BG155" s="51"/>
      <c r="BH155" s="51"/>
      <c r="BI155" s="51"/>
      <c r="BJ155" s="51"/>
      <c r="BK155" s="51"/>
      <c r="BL155" s="51"/>
      <c r="BM155" s="51"/>
      <c r="BN155" s="51"/>
      <c r="BO155" s="51"/>
      <c r="BP155" s="51"/>
      <c r="BQ155" s="51"/>
      <c r="BR155" s="51"/>
      <c r="BS155" s="51"/>
      <c r="BT155" s="51"/>
      <c r="BU155" s="51"/>
      <c r="BV155" s="51"/>
      <c r="BW155" s="51"/>
      <c r="BX155" s="51"/>
      <c r="BY155" s="51"/>
      <c r="BZ155" s="51"/>
      <c r="CA155" s="51"/>
      <c r="CB155" s="51"/>
      <c r="CC155" s="51"/>
      <c r="CD155" s="51"/>
      <c r="CE155" s="51"/>
      <c r="CF155" s="51"/>
      <c r="CG155" s="51"/>
      <c r="CH155" s="51"/>
      <c r="CI155" s="51"/>
      <c r="CJ155" s="51"/>
      <c r="CK155" s="51"/>
      <c r="CL155" s="51"/>
      <c r="CM155" s="51"/>
      <c r="CN155" s="51"/>
      <c r="CO155" s="51"/>
      <c r="CP155" s="51"/>
      <c r="CQ155" s="51"/>
      <c r="CR155" s="51"/>
      <c r="CS155" s="51"/>
      <c r="CT155" s="42" t="str">
        <f>IFERROR(('基本数据输入&amp;测算结果'!$C$19*7-AVERAGE(B155:Y155,CP155:CS155)*7-'基本数据输入&amp;测算结果'!$C$23*7)/'基本数据输入&amp;测算结果'!$C$21*'基本数据输入&amp;测算结果'!$C$22,"无数据/数据缺失")</f>
        <v>无数据/数据缺失</v>
      </c>
      <c r="CU155" s="42">
        <f>IF(CT155&lt;0,0,IF(CT155="无数据/数据缺失",0%,IF(CT155&gt;'基本数据输入&amp;测算结果'!$C$20,100%,CT155/'基本数据输入&amp;测算结果'!$C$20)))</f>
        <v>0</v>
      </c>
      <c r="CV155" s="42" t="str">
        <f>IFERROR((AVERAGE(Z155:AG155)*2-'基本数据输入&amp;测算结果'!$C$24*2)/'基本数据输入&amp;测算结果'!$C$21/'基本数据输入&amp;测算结果'!$C$22,"无数据/数据缺失")</f>
        <v>无数据/数据缺失</v>
      </c>
      <c r="CW155" s="42">
        <f>IF(CV155&lt;0,0,IF(CV155="无数据/数据缺失",0%,IF(CV155&gt;'基本数据输入&amp;测算结果'!$C$20*CU155,CU155,CV155/'基本数据输入&amp;测算结果'!$C$20*CU155)))</f>
        <v>0</v>
      </c>
      <c r="CX155" s="42" t="str">
        <f>IFERROR(('基本数据输入&amp;测算结果'!$C$19*3-AVERAGE(AT155:BE155)*3-'基本数据输入&amp;测算结果'!$C$23*3)/'基本数据输入&amp;测算结果'!$C$21*'基本数据输入&amp;测算结果'!$C$22,"无数据/数据缺失")</f>
        <v>无数据/数据缺失</v>
      </c>
      <c r="CY155" s="42">
        <f>IF(CX155&lt;0,0,IF(CX155="无数据/数据缺失",0%,IF(CX155&gt;'基本数据输入&amp;测算结果'!$C$20,100%,CX155/'基本数据输入&amp;测算结果'!$C$20)))</f>
        <v>0</v>
      </c>
      <c r="CZ155" s="42" t="str">
        <f>IFERROR((AVERAGE(BN155:CK155)*6-'基本数据输入&amp;测算结果'!$C$24*6)/'基本数据输入&amp;测算结果'!$C$21/'基本数据输入&amp;测算结果'!$C$22,"无数据/数据缺失")</f>
        <v>无数据/数据缺失</v>
      </c>
      <c r="DA155" s="42">
        <f>IF(CZ155&lt;0,0,IF(CZ155="无数据/数据缺失",0,IF('基本数据输入&amp;测算结果'!$C$20*CY155&gt;CZ155,CZ155/'基本数据输入&amp;测算结果'!$C$20*CY155,CY155)))</f>
        <v>0</v>
      </c>
      <c r="DB155" s="49">
        <f t="shared" si="9"/>
        <v>0</v>
      </c>
      <c r="DC155" s="50"/>
      <c r="DD155" s="50"/>
    </row>
    <row r="156" customHeight="1" spans="1:108">
      <c r="A156" s="52" t="s">
        <v>210</v>
      </c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51"/>
      <c r="AQ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51"/>
      <c r="BC156" s="51"/>
      <c r="BD156" s="51"/>
      <c r="BE156" s="51"/>
      <c r="BF156" s="51"/>
      <c r="BG156" s="51"/>
      <c r="BH156" s="51"/>
      <c r="BI156" s="51"/>
      <c r="BJ156" s="51"/>
      <c r="BK156" s="51"/>
      <c r="BL156" s="51"/>
      <c r="BM156" s="51"/>
      <c r="BN156" s="51"/>
      <c r="BO156" s="51"/>
      <c r="BP156" s="51"/>
      <c r="BQ156" s="51"/>
      <c r="BR156" s="51"/>
      <c r="BS156" s="51"/>
      <c r="BT156" s="51"/>
      <c r="BU156" s="51"/>
      <c r="BV156" s="51"/>
      <c r="BW156" s="51"/>
      <c r="BX156" s="51"/>
      <c r="BY156" s="51"/>
      <c r="BZ156" s="51"/>
      <c r="CA156" s="51"/>
      <c r="CB156" s="51"/>
      <c r="CC156" s="51"/>
      <c r="CD156" s="51"/>
      <c r="CE156" s="51"/>
      <c r="CF156" s="51"/>
      <c r="CG156" s="51"/>
      <c r="CH156" s="51"/>
      <c r="CI156" s="51"/>
      <c r="CJ156" s="51"/>
      <c r="CK156" s="51"/>
      <c r="CL156" s="51"/>
      <c r="CM156" s="51"/>
      <c r="CN156" s="51"/>
      <c r="CO156" s="51"/>
      <c r="CP156" s="51"/>
      <c r="CQ156" s="51"/>
      <c r="CR156" s="51"/>
      <c r="CS156" s="51"/>
      <c r="CT156" s="42" t="str">
        <f>IFERROR(('基本数据输入&amp;测算结果'!$C$19*7-AVERAGE(B156:Y156,CP156:CS156)*7-'基本数据输入&amp;测算结果'!$C$23*7)/'基本数据输入&amp;测算结果'!$C$21*'基本数据输入&amp;测算结果'!$C$22,"无数据/数据缺失")</f>
        <v>无数据/数据缺失</v>
      </c>
      <c r="CU156" s="42">
        <f>IF(CT156&lt;0,0,IF(CT156="无数据/数据缺失",0%,IF(CT156&gt;'基本数据输入&amp;测算结果'!$C$20,100%,CT156/'基本数据输入&amp;测算结果'!$C$20)))</f>
        <v>0</v>
      </c>
      <c r="CV156" s="42" t="str">
        <f>IFERROR((AVERAGE(Z156:AG156)*2-'基本数据输入&amp;测算结果'!$C$24*2)/'基本数据输入&amp;测算结果'!$C$21/'基本数据输入&amp;测算结果'!$C$22,"无数据/数据缺失")</f>
        <v>无数据/数据缺失</v>
      </c>
      <c r="CW156" s="42">
        <f>IF(CV156&lt;0,0,IF(CV156="无数据/数据缺失",0%,IF(CV156&gt;'基本数据输入&amp;测算结果'!$C$20*CU156,CU156,CV156/'基本数据输入&amp;测算结果'!$C$20*CU156)))</f>
        <v>0</v>
      </c>
      <c r="CX156" s="42" t="str">
        <f>IFERROR(('基本数据输入&amp;测算结果'!$C$19*3-AVERAGE(AT156:BE156)*3-'基本数据输入&amp;测算结果'!$C$23*3)/'基本数据输入&amp;测算结果'!$C$21*'基本数据输入&amp;测算结果'!$C$22,"无数据/数据缺失")</f>
        <v>无数据/数据缺失</v>
      </c>
      <c r="CY156" s="42">
        <f>IF(CX156&lt;0,0,IF(CX156="无数据/数据缺失",0%,IF(CX156&gt;'基本数据输入&amp;测算结果'!$C$20,100%,CX156/'基本数据输入&amp;测算结果'!$C$20)))</f>
        <v>0</v>
      </c>
      <c r="CZ156" s="42" t="str">
        <f>IFERROR((AVERAGE(BN156:CK156)*6-'基本数据输入&amp;测算结果'!$C$24*6)/'基本数据输入&amp;测算结果'!$C$21/'基本数据输入&amp;测算结果'!$C$22,"无数据/数据缺失")</f>
        <v>无数据/数据缺失</v>
      </c>
      <c r="DA156" s="42">
        <f>IF(CZ156&lt;0,0,IF(CZ156="无数据/数据缺失",0,IF('基本数据输入&amp;测算结果'!$C$20*CY156&gt;CZ156,CZ156/'基本数据输入&amp;测算结果'!$C$20*CY156,CY156)))</f>
        <v>0</v>
      </c>
      <c r="DB156" s="49">
        <f t="shared" si="9"/>
        <v>0</v>
      </c>
      <c r="DC156" s="50"/>
      <c r="DD156" s="50"/>
    </row>
    <row r="157" customHeight="1" spans="1:108">
      <c r="A157" s="52" t="s">
        <v>211</v>
      </c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51"/>
      <c r="AQ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51"/>
      <c r="BC157" s="51"/>
      <c r="BD157" s="51"/>
      <c r="BE157" s="51"/>
      <c r="BF157" s="51"/>
      <c r="BG157" s="51"/>
      <c r="BH157" s="51"/>
      <c r="BI157" s="51"/>
      <c r="BJ157" s="51"/>
      <c r="BK157" s="51"/>
      <c r="BL157" s="51"/>
      <c r="BM157" s="51"/>
      <c r="BN157" s="51"/>
      <c r="BO157" s="51"/>
      <c r="BP157" s="51"/>
      <c r="BQ157" s="51"/>
      <c r="BR157" s="51"/>
      <c r="BS157" s="51"/>
      <c r="BT157" s="51"/>
      <c r="BU157" s="51"/>
      <c r="BV157" s="51"/>
      <c r="BW157" s="51"/>
      <c r="BX157" s="51"/>
      <c r="BY157" s="51"/>
      <c r="BZ157" s="51"/>
      <c r="CA157" s="51"/>
      <c r="CB157" s="51"/>
      <c r="CC157" s="51"/>
      <c r="CD157" s="51"/>
      <c r="CE157" s="51"/>
      <c r="CF157" s="51"/>
      <c r="CG157" s="51"/>
      <c r="CH157" s="51"/>
      <c r="CI157" s="51"/>
      <c r="CJ157" s="51"/>
      <c r="CK157" s="51"/>
      <c r="CL157" s="51"/>
      <c r="CM157" s="51"/>
      <c r="CN157" s="51"/>
      <c r="CO157" s="51"/>
      <c r="CP157" s="51"/>
      <c r="CQ157" s="51"/>
      <c r="CR157" s="51"/>
      <c r="CS157" s="51"/>
      <c r="CT157" s="42" t="str">
        <f>IFERROR(('基本数据输入&amp;测算结果'!$C$19*7-AVERAGE(B157:Y157,CP157:CS157)*7-'基本数据输入&amp;测算结果'!$C$23*7)/'基本数据输入&amp;测算结果'!$C$21*'基本数据输入&amp;测算结果'!$C$22,"无数据/数据缺失")</f>
        <v>无数据/数据缺失</v>
      </c>
      <c r="CU157" s="42">
        <f>IF(CT157&lt;0,0,IF(CT157="无数据/数据缺失",0%,IF(CT157&gt;'基本数据输入&amp;测算结果'!$C$20,100%,CT157/'基本数据输入&amp;测算结果'!$C$20)))</f>
        <v>0</v>
      </c>
      <c r="CV157" s="42" t="str">
        <f>IFERROR((AVERAGE(Z157:AG157)*2-'基本数据输入&amp;测算结果'!$C$24*2)/'基本数据输入&amp;测算结果'!$C$21/'基本数据输入&amp;测算结果'!$C$22,"无数据/数据缺失")</f>
        <v>无数据/数据缺失</v>
      </c>
      <c r="CW157" s="42">
        <f>IF(CV157&lt;0,0,IF(CV157="无数据/数据缺失",0%,IF(CV157&gt;'基本数据输入&amp;测算结果'!$C$20*CU157,CU157,CV157/'基本数据输入&amp;测算结果'!$C$20*CU157)))</f>
        <v>0</v>
      </c>
      <c r="CX157" s="42" t="str">
        <f>IFERROR(('基本数据输入&amp;测算结果'!$C$19*3-AVERAGE(AT157:BE157)*3-'基本数据输入&amp;测算结果'!$C$23*3)/'基本数据输入&amp;测算结果'!$C$21*'基本数据输入&amp;测算结果'!$C$22,"无数据/数据缺失")</f>
        <v>无数据/数据缺失</v>
      </c>
      <c r="CY157" s="42">
        <f>IF(CX157&lt;0,0,IF(CX157="无数据/数据缺失",0%,IF(CX157&gt;'基本数据输入&amp;测算结果'!$C$20,100%,CX157/'基本数据输入&amp;测算结果'!$C$20)))</f>
        <v>0</v>
      </c>
      <c r="CZ157" s="42" t="str">
        <f>IFERROR((AVERAGE(BN157:CK157)*6-'基本数据输入&amp;测算结果'!$C$24*6)/'基本数据输入&amp;测算结果'!$C$21/'基本数据输入&amp;测算结果'!$C$22,"无数据/数据缺失")</f>
        <v>无数据/数据缺失</v>
      </c>
      <c r="DA157" s="42">
        <f>IF(CZ157&lt;0,0,IF(CZ157="无数据/数据缺失",0,IF('基本数据输入&amp;测算结果'!$C$20*CY157&gt;CZ157,CZ157/'基本数据输入&amp;测算结果'!$C$20*CY157,CY157)))</f>
        <v>0</v>
      </c>
      <c r="DB157" s="49">
        <f t="shared" si="9"/>
        <v>0</v>
      </c>
      <c r="DC157" s="50"/>
      <c r="DD157" s="50"/>
    </row>
    <row r="158" customHeight="1" spans="1:108">
      <c r="A158" s="52" t="s">
        <v>212</v>
      </c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51"/>
      <c r="AQ158" s="51"/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51"/>
      <c r="BC158" s="51"/>
      <c r="BD158" s="51"/>
      <c r="BE158" s="51"/>
      <c r="BF158" s="51"/>
      <c r="BG158" s="51"/>
      <c r="BH158" s="51"/>
      <c r="BI158" s="51"/>
      <c r="BJ158" s="51"/>
      <c r="BK158" s="51"/>
      <c r="BL158" s="51"/>
      <c r="BM158" s="51"/>
      <c r="BN158" s="51"/>
      <c r="BO158" s="51"/>
      <c r="BP158" s="51"/>
      <c r="BQ158" s="51"/>
      <c r="BR158" s="51"/>
      <c r="BS158" s="51"/>
      <c r="BT158" s="51"/>
      <c r="BU158" s="51"/>
      <c r="BV158" s="51"/>
      <c r="BW158" s="51"/>
      <c r="BX158" s="51"/>
      <c r="BY158" s="51"/>
      <c r="BZ158" s="51"/>
      <c r="CA158" s="51"/>
      <c r="CB158" s="51"/>
      <c r="CC158" s="51"/>
      <c r="CD158" s="51"/>
      <c r="CE158" s="51"/>
      <c r="CF158" s="51"/>
      <c r="CG158" s="51"/>
      <c r="CH158" s="51"/>
      <c r="CI158" s="51"/>
      <c r="CJ158" s="51"/>
      <c r="CK158" s="51"/>
      <c r="CL158" s="51"/>
      <c r="CM158" s="51"/>
      <c r="CN158" s="51"/>
      <c r="CO158" s="51"/>
      <c r="CP158" s="51"/>
      <c r="CQ158" s="51"/>
      <c r="CR158" s="51"/>
      <c r="CS158" s="51"/>
      <c r="CT158" s="42" t="str">
        <f>IFERROR(('基本数据输入&amp;测算结果'!$C$19*7-AVERAGE(B158:Y158,CP158:CS158)*7-'基本数据输入&amp;测算结果'!$C$23*7)/'基本数据输入&amp;测算结果'!$C$21*'基本数据输入&amp;测算结果'!$C$22,"无数据/数据缺失")</f>
        <v>无数据/数据缺失</v>
      </c>
      <c r="CU158" s="42">
        <f>IF(CT158&lt;0,0,IF(CT158="无数据/数据缺失",0%,IF(CT158&gt;'基本数据输入&amp;测算结果'!$C$20,100%,CT158/'基本数据输入&amp;测算结果'!$C$20)))</f>
        <v>0</v>
      </c>
      <c r="CV158" s="42" t="str">
        <f>IFERROR((AVERAGE(Z158:AG158)*2-'基本数据输入&amp;测算结果'!$C$24*2)/'基本数据输入&amp;测算结果'!$C$21/'基本数据输入&amp;测算结果'!$C$22,"无数据/数据缺失")</f>
        <v>无数据/数据缺失</v>
      </c>
      <c r="CW158" s="42">
        <f>IF(CV158&lt;0,0,IF(CV158="无数据/数据缺失",0%,IF(CV158&gt;'基本数据输入&amp;测算结果'!$C$20*CU158,CU158,CV158/'基本数据输入&amp;测算结果'!$C$20*CU158)))</f>
        <v>0</v>
      </c>
      <c r="CX158" s="42" t="str">
        <f>IFERROR(('基本数据输入&amp;测算结果'!$C$19*3-AVERAGE(AT158:BE158)*3-'基本数据输入&amp;测算结果'!$C$23*3)/'基本数据输入&amp;测算结果'!$C$21*'基本数据输入&amp;测算结果'!$C$22,"无数据/数据缺失")</f>
        <v>无数据/数据缺失</v>
      </c>
      <c r="CY158" s="42">
        <f>IF(CX158&lt;0,0,IF(CX158="无数据/数据缺失",0%,IF(CX158&gt;'基本数据输入&amp;测算结果'!$C$20,100%,CX158/'基本数据输入&amp;测算结果'!$C$20)))</f>
        <v>0</v>
      </c>
      <c r="CZ158" s="42" t="str">
        <f>IFERROR((AVERAGE(BN158:CK158)*6-'基本数据输入&amp;测算结果'!$C$24*6)/'基本数据输入&amp;测算结果'!$C$21/'基本数据输入&amp;测算结果'!$C$22,"无数据/数据缺失")</f>
        <v>无数据/数据缺失</v>
      </c>
      <c r="DA158" s="42">
        <f>IF(CZ158&lt;0,0,IF(CZ158="无数据/数据缺失",0,IF('基本数据输入&amp;测算结果'!$C$20*CY158&gt;CZ158,CZ158/'基本数据输入&amp;测算结果'!$C$20*CY158,CY158)))</f>
        <v>0</v>
      </c>
      <c r="DB158" s="49">
        <f t="shared" si="9"/>
        <v>0</v>
      </c>
      <c r="DC158" s="50"/>
      <c r="DD158" s="50"/>
    </row>
    <row r="159" customHeight="1" spans="1:108">
      <c r="A159" s="52" t="s">
        <v>213</v>
      </c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51"/>
      <c r="AQ159" s="51"/>
      <c r="AR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51"/>
      <c r="BC159" s="51"/>
      <c r="BD159" s="51"/>
      <c r="BE159" s="51"/>
      <c r="BF159" s="51"/>
      <c r="BG159" s="51"/>
      <c r="BH159" s="51"/>
      <c r="BI159" s="51"/>
      <c r="BJ159" s="51"/>
      <c r="BK159" s="51"/>
      <c r="BL159" s="51"/>
      <c r="BM159" s="51"/>
      <c r="BN159" s="51"/>
      <c r="BO159" s="51"/>
      <c r="BP159" s="51"/>
      <c r="BQ159" s="51"/>
      <c r="BR159" s="51"/>
      <c r="BS159" s="51"/>
      <c r="BT159" s="51"/>
      <c r="BU159" s="51"/>
      <c r="BV159" s="51"/>
      <c r="BW159" s="51"/>
      <c r="BX159" s="51"/>
      <c r="BY159" s="51"/>
      <c r="BZ159" s="51"/>
      <c r="CA159" s="51"/>
      <c r="CB159" s="51"/>
      <c r="CC159" s="51"/>
      <c r="CD159" s="51"/>
      <c r="CE159" s="51"/>
      <c r="CF159" s="51"/>
      <c r="CG159" s="51"/>
      <c r="CH159" s="51"/>
      <c r="CI159" s="51"/>
      <c r="CJ159" s="51"/>
      <c r="CK159" s="51"/>
      <c r="CL159" s="51"/>
      <c r="CM159" s="51"/>
      <c r="CN159" s="51"/>
      <c r="CO159" s="51"/>
      <c r="CP159" s="51"/>
      <c r="CQ159" s="51"/>
      <c r="CR159" s="51"/>
      <c r="CS159" s="51"/>
      <c r="CT159" s="42" t="str">
        <f>IFERROR(('基本数据输入&amp;测算结果'!$C$19*7-AVERAGE(B159:Y159,CP159:CS159)*7-'基本数据输入&amp;测算结果'!$C$23*7)/'基本数据输入&amp;测算结果'!$C$21*'基本数据输入&amp;测算结果'!$C$22,"无数据/数据缺失")</f>
        <v>无数据/数据缺失</v>
      </c>
      <c r="CU159" s="42">
        <f>IF(CT159&lt;0,0,IF(CT159="无数据/数据缺失",0%,IF(CT159&gt;'基本数据输入&amp;测算结果'!$C$20,100%,CT159/'基本数据输入&amp;测算结果'!$C$20)))</f>
        <v>0</v>
      </c>
      <c r="CV159" s="42" t="str">
        <f>IFERROR((AVERAGE(Z159:AG159)*2-'基本数据输入&amp;测算结果'!$C$24*2)/'基本数据输入&amp;测算结果'!$C$21/'基本数据输入&amp;测算结果'!$C$22,"无数据/数据缺失")</f>
        <v>无数据/数据缺失</v>
      </c>
      <c r="CW159" s="42">
        <f>IF(CV159&lt;0,0,IF(CV159="无数据/数据缺失",0%,IF(CV159&gt;'基本数据输入&amp;测算结果'!$C$20*CU159,CU159,CV159/'基本数据输入&amp;测算结果'!$C$20*CU159)))</f>
        <v>0</v>
      </c>
      <c r="CX159" s="42" t="str">
        <f>IFERROR(('基本数据输入&amp;测算结果'!$C$19*3-AVERAGE(AT159:BE159)*3-'基本数据输入&amp;测算结果'!$C$23*3)/'基本数据输入&amp;测算结果'!$C$21*'基本数据输入&amp;测算结果'!$C$22,"无数据/数据缺失")</f>
        <v>无数据/数据缺失</v>
      </c>
      <c r="CY159" s="42">
        <f>IF(CX159&lt;0,0,IF(CX159="无数据/数据缺失",0%,IF(CX159&gt;'基本数据输入&amp;测算结果'!$C$20,100%,CX159/'基本数据输入&amp;测算结果'!$C$20)))</f>
        <v>0</v>
      </c>
      <c r="CZ159" s="42" t="str">
        <f>IFERROR((AVERAGE(BN159:CK159)*6-'基本数据输入&amp;测算结果'!$C$24*6)/'基本数据输入&amp;测算结果'!$C$21/'基本数据输入&amp;测算结果'!$C$22,"无数据/数据缺失")</f>
        <v>无数据/数据缺失</v>
      </c>
      <c r="DA159" s="42">
        <f>IF(CZ159&lt;0,0,IF(CZ159="无数据/数据缺失",0,IF('基本数据输入&amp;测算结果'!$C$20*CY159&gt;CZ159,CZ159/'基本数据输入&amp;测算结果'!$C$20*CY159,CY159)))</f>
        <v>0</v>
      </c>
      <c r="DB159" s="49">
        <f t="shared" si="9"/>
        <v>0</v>
      </c>
      <c r="DC159" s="50"/>
      <c r="DD159" s="50"/>
    </row>
    <row r="160" customHeight="1" spans="1:108">
      <c r="A160" s="52" t="s">
        <v>214</v>
      </c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51"/>
      <c r="AQ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51"/>
      <c r="BC160" s="51"/>
      <c r="BD160" s="51"/>
      <c r="BE160" s="51"/>
      <c r="BF160" s="51"/>
      <c r="BG160" s="51"/>
      <c r="BH160" s="51"/>
      <c r="BI160" s="51"/>
      <c r="BJ160" s="51"/>
      <c r="BK160" s="51"/>
      <c r="BL160" s="51"/>
      <c r="BM160" s="51"/>
      <c r="BN160" s="51"/>
      <c r="BO160" s="51"/>
      <c r="BP160" s="51"/>
      <c r="BQ160" s="51"/>
      <c r="BR160" s="51"/>
      <c r="BS160" s="51"/>
      <c r="BT160" s="51"/>
      <c r="BU160" s="51"/>
      <c r="BV160" s="51"/>
      <c r="BW160" s="51"/>
      <c r="BX160" s="51"/>
      <c r="BY160" s="51"/>
      <c r="BZ160" s="51"/>
      <c r="CA160" s="51"/>
      <c r="CB160" s="51"/>
      <c r="CC160" s="51"/>
      <c r="CD160" s="51"/>
      <c r="CE160" s="51"/>
      <c r="CF160" s="51"/>
      <c r="CG160" s="51"/>
      <c r="CH160" s="51"/>
      <c r="CI160" s="51"/>
      <c r="CJ160" s="51"/>
      <c r="CK160" s="51"/>
      <c r="CL160" s="51"/>
      <c r="CM160" s="51"/>
      <c r="CN160" s="51"/>
      <c r="CO160" s="51"/>
      <c r="CP160" s="51"/>
      <c r="CQ160" s="51"/>
      <c r="CR160" s="51"/>
      <c r="CS160" s="51"/>
      <c r="CT160" s="42" t="str">
        <f>IFERROR(('基本数据输入&amp;测算结果'!$C$19*7-AVERAGE(B160:Y160,CP160:CS160)*7-'基本数据输入&amp;测算结果'!$C$23*7)/'基本数据输入&amp;测算结果'!$C$21*'基本数据输入&amp;测算结果'!$C$22,"无数据/数据缺失")</f>
        <v>无数据/数据缺失</v>
      </c>
      <c r="CU160" s="42">
        <f>IF(CT160&lt;0,0,IF(CT160="无数据/数据缺失",0%,IF(CT160&gt;'基本数据输入&amp;测算结果'!$C$20,100%,CT160/'基本数据输入&amp;测算结果'!$C$20)))</f>
        <v>0</v>
      </c>
      <c r="CV160" s="42" t="str">
        <f>IFERROR((AVERAGE(Z160:AG160)*2-'基本数据输入&amp;测算结果'!$C$24*2)/'基本数据输入&amp;测算结果'!$C$21/'基本数据输入&amp;测算结果'!$C$22,"无数据/数据缺失")</f>
        <v>无数据/数据缺失</v>
      </c>
      <c r="CW160" s="42">
        <f>IF(CV160&lt;0,0,IF(CV160="无数据/数据缺失",0%,IF(CV160&gt;'基本数据输入&amp;测算结果'!$C$20*CU160,CU160,CV160/'基本数据输入&amp;测算结果'!$C$20*CU160)))</f>
        <v>0</v>
      </c>
      <c r="CX160" s="42" t="str">
        <f>IFERROR(('基本数据输入&amp;测算结果'!$C$19*3-AVERAGE(AT160:BE160)*3-'基本数据输入&amp;测算结果'!$C$23*3)/'基本数据输入&amp;测算结果'!$C$21*'基本数据输入&amp;测算结果'!$C$22,"无数据/数据缺失")</f>
        <v>无数据/数据缺失</v>
      </c>
      <c r="CY160" s="42">
        <f>IF(CX160&lt;0,0,IF(CX160="无数据/数据缺失",0%,IF(CX160&gt;'基本数据输入&amp;测算结果'!$C$20,100%,CX160/'基本数据输入&amp;测算结果'!$C$20)))</f>
        <v>0</v>
      </c>
      <c r="CZ160" s="42" t="str">
        <f>IFERROR((AVERAGE(BN160:CK160)*6-'基本数据输入&amp;测算结果'!$C$24*6)/'基本数据输入&amp;测算结果'!$C$21/'基本数据输入&amp;测算结果'!$C$22,"无数据/数据缺失")</f>
        <v>无数据/数据缺失</v>
      </c>
      <c r="DA160" s="42">
        <f>IF(CZ160&lt;0,0,IF(CZ160="无数据/数据缺失",0,IF('基本数据输入&amp;测算结果'!$C$20*CY160&gt;CZ160,CZ160/'基本数据输入&amp;测算结果'!$C$20*CY160,CY160)))</f>
        <v>0</v>
      </c>
      <c r="DB160" s="49">
        <f t="shared" si="9"/>
        <v>0</v>
      </c>
      <c r="DC160" s="50"/>
      <c r="DD160" s="50"/>
    </row>
    <row r="161" customHeight="1" spans="1:108">
      <c r="A161" s="52" t="s">
        <v>215</v>
      </c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51"/>
      <c r="AQ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51"/>
      <c r="BC161" s="51"/>
      <c r="BD161" s="51"/>
      <c r="BE161" s="51"/>
      <c r="BF161" s="51"/>
      <c r="BG161" s="51"/>
      <c r="BH161" s="51"/>
      <c r="BI161" s="51"/>
      <c r="BJ161" s="51"/>
      <c r="BK161" s="51"/>
      <c r="BL161" s="51"/>
      <c r="BM161" s="51"/>
      <c r="BN161" s="51"/>
      <c r="BO161" s="51"/>
      <c r="BP161" s="51"/>
      <c r="BQ161" s="51"/>
      <c r="BR161" s="51"/>
      <c r="BS161" s="51"/>
      <c r="BT161" s="51"/>
      <c r="BU161" s="51"/>
      <c r="BV161" s="51"/>
      <c r="BW161" s="51"/>
      <c r="BX161" s="51"/>
      <c r="BY161" s="51"/>
      <c r="BZ161" s="51"/>
      <c r="CA161" s="51"/>
      <c r="CB161" s="51"/>
      <c r="CC161" s="51"/>
      <c r="CD161" s="51"/>
      <c r="CE161" s="51"/>
      <c r="CF161" s="51"/>
      <c r="CG161" s="51"/>
      <c r="CH161" s="51"/>
      <c r="CI161" s="51"/>
      <c r="CJ161" s="51"/>
      <c r="CK161" s="51"/>
      <c r="CL161" s="51"/>
      <c r="CM161" s="51"/>
      <c r="CN161" s="51"/>
      <c r="CO161" s="51"/>
      <c r="CP161" s="51"/>
      <c r="CQ161" s="51"/>
      <c r="CR161" s="51"/>
      <c r="CS161" s="51"/>
      <c r="CT161" s="42" t="str">
        <f>IFERROR(('基本数据输入&amp;测算结果'!$C$19*7-AVERAGE(B161:Y161,CP161:CS161)*7-'基本数据输入&amp;测算结果'!$C$23*7)/'基本数据输入&amp;测算结果'!$C$21*'基本数据输入&amp;测算结果'!$C$22,"无数据/数据缺失")</f>
        <v>无数据/数据缺失</v>
      </c>
      <c r="CU161" s="42">
        <f>IF(CT161&lt;0,0,IF(CT161="无数据/数据缺失",0%,IF(CT161&gt;'基本数据输入&amp;测算结果'!$C$20,100%,CT161/'基本数据输入&amp;测算结果'!$C$20)))</f>
        <v>0</v>
      </c>
      <c r="CV161" s="42" t="str">
        <f>IFERROR((AVERAGE(Z161:AG161)*2-'基本数据输入&amp;测算结果'!$C$24*2)/'基本数据输入&amp;测算结果'!$C$21/'基本数据输入&amp;测算结果'!$C$22,"无数据/数据缺失")</f>
        <v>无数据/数据缺失</v>
      </c>
      <c r="CW161" s="42">
        <f>IF(CV161&lt;0,0,IF(CV161="无数据/数据缺失",0%,IF(CV161&gt;'基本数据输入&amp;测算结果'!$C$20*CU161,CU161,CV161/'基本数据输入&amp;测算结果'!$C$20*CU161)))</f>
        <v>0</v>
      </c>
      <c r="CX161" s="42" t="str">
        <f>IFERROR(('基本数据输入&amp;测算结果'!$C$19*3-AVERAGE(AT161:BE161)*3-'基本数据输入&amp;测算结果'!$C$23*3)/'基本数据输入&amp;测算结果'!$C$21*'基本数据输入&amp;测算结果'!$C$22,"无数据/数据缺失")</f>
        <v>无数据/数据缺失</v>
      </c>
      <c r="CY161" s="42">
        <f>IF(CX161&lt;0,0,IF(CX161="无数据/数据缺失",0%,IF(CX161&gt;'基本数据输入&amp;测算结果'!$C$20,100%,CX161/'基本数据输入&amp;测算结果'!$C$20)))</f>
        <v>0</v>
      </c>
      <c r="CZ161" s="42" t="str">
        <f>IFERROR((AVERAGE(BN161:CK161)*6-'基本数据输入&amp;测算结果'!$C$24*6)/'基本数据输入&amp;测算结果'!$C$21/'基本数据输入&amp;测算结果'!$C$22,"无数据/数据缺失")</f>
        <v>无数据/数据缺失</v>
      </c>
      <c r="DA161" s="42">
        <f>IF(CZ161&lt;0,0,IF(CZ161="无数据/数据缺失",0,IF('基本数据输入&amp;测算结果'!$C$20*CY161&gt;CZ161,CZ161/'基本数据输入&amp;测算结果'!$C$20*CY161,CY161)))</f>
        <v>0</v>
      </c>
      <c r="DB161" s="49">
        <f t="shared" si="9"/>
        <v>0</v>
      </c>
      <c r="DC161" s="50"/>
      <c r="DD161" s="50"/>
    </row>
    <row r="162" customHeight="1" spans="1:108">
      <c r="A162" s="52" t="s">
        <v>216</v>
      </c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51"/>
      <c r="AQ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51"/>
      <c r="BC162" s="51"/>
      <c r="BD162" s="51"/>
      <c r="BE162" s="51"/>
      <c r="BF162" s="51"/>
      <c r="BG162" s="51"/>
      <c r="BH162" s="51"/>
      <c r="BI162" s="51"/>
      <c r="BJ162" s="51"/>
      <c r="BK162" s="51"/>
      <c r="BL162" s="51"/>
      <c r="BM162" s="51"/>
      <c r="BN162" s="51"/>
      <c r="BO162" s="51"/>
      <c r="BP162" s="51"/>
      <c r="BQ162" s="51"/>
      <c r="BR162" s="51"/>
      <c r="BS162" s="51"/>
      <c r="BT162" s="51"/>
      <c r="BU162" s="51"/>
      <c r="BV162" s="51"/>
      <c r="BW162" s="51"/>
      <c r="BX162" s="51"/>
      <c r="BY162" s="51"/>
      <c r="BZ162" s="51"/>
      <c r="CA162" s="51"/>
      <c r="CB162" s="51"/>
      <c r="CC162" s="51"/>
      <c r="CD162" s="51"/>
      <c r="CE162" s="51"/>
      <c r="CF162" s="51"/>
      <c r="CG162" s="51"/>
      <c r="CH162" s="51"/>
      <c r="CI162" s="51"/>
      <c r="CJ162" s="51"/>
      <c r="CK162" s="51"/>
      <c r="CL162" s="51"/>
      <c r="CM162" s="51"/>
      <c r="CN162" s="51"/>
      <c r="CO162" s="51"/>
      <c r="CP162" s="51"/>
      <c r="CQ162" s="51"/>
      <c r="CR162" s="51"/>
      <c r="CS162" s="51"/>
      <c r="CT162" s="42" t="str">
        <f>IFERROR(('基本数据输入&amp;测算结果'!$C$19*7-AVERAGE(B162:Y162,CP162:CS162)*7-'基本数据输入&amp;测算结果'!$C$23*7)/'基本数据输入&amp;测算结果'!$C$21*'基本数据输入&amp;测算结果'!$C$22,"无数据/数据缺失")</f>
        <v>无数据/数据缺失</v>
      </c>
      <c r="CU162" s="42">
        <f>IF(CT162&lt;0,0,IF(CT162="无数据/数据缺失",0%,IF(CT162&gt;'基本数据输入&amp;测算结果'!$C$20,100%,CT162/'基本数据输入&amp;测算结果'!$C$20)))</f>
        <v>0</v>
      </c>
      <c r="CV162" s="42" t="str">
        <f>IFERROR((AVERAGE(Z162:AG162)*2-'基本数据输入&amp;测算结果'!$C$24*2)/'基本数据输入&amp;测算结果'!$C$21/'基本数据输入&amp;测算结果'!$C$22,"无数据/数据缺失")</f>
        <v>无数据/数据缺失</v>
      </c>
      <c r="CW162" s="42">
        <f>IF(CV162&lt;0,0,IF(CV162="无数据/数据缺失",0%,IF(CV162&gt;'基本数据输入&amp;测算结果'!$C$20*CU162,CU162,CV162/'基本数据输入&amp;测算结果'!$C$20*CU162)))</f>
        <v>0</v>
      </c>
      <c r="CX162" s="42" t="str">
        <f>IFERROR(('基本数据输入&amp;测算结果'!$C$19*3-AVERAGE(AT162:BE162)*3-'基本数据输入&amp;测算结果'!$C$23*3)/'基本数据输入&amp;测算结果'!$C$21*'基本数据输入&amp;测算结果'!$C$22,"无数据/数据缺失")</f>
        <v>无数据/数据缺失</v>
      </c>
      <c r="CY162" s="42">
        <f>IF(CX162&lt;0,0,IF(CX162="无数据/数据缺失",0%,IF(CX162&gt;'基本数据输入&amp;测算结果'!$C$20,100%,CX162/'基本数据输入&amp;测算结果'!$C$20)))</f>
        <v>0</v>
      </c>
      <c r="CZ162" s="42" t="str">
        <f>IFERROR((AVERAGE(BN162:CK162)*6-'基本数据输入&amp;测算结果'!$C$24*6)/'基本数据输入&amp;测算结果'!$C$21/'基本数据输入&amp;测算结果'!$C$22,"无数据/数据缺失")</f>
        <v>无数据/数据缺失</v>
      </c>
      <c r="DA162" s="42">
        <f>IF(CZ162&lt;0,0,IF(CZ162="无数据/数据缺失",0,IF('基本数据输入&amp;测算结果'!$C$20*CY162&gt;CZ162,CZ162/'基本数据输入&amp;测算结果'!$C$20*CY162,CY162)))</f>
        <v>0</v>
      </c>
      <c r="DB162" s="49">
        <f t="shared" si="9"/>
        <v>0</v>
      </c>
      <c r="DC162" s="50"/>
      <c r="DD162" s="50"/>
    </row>
    <row r="163" customHeight="1" spans="1:108">
      <c r="A163" s="52" t="s">
        <v>217</v>
      </c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51"/>
      <c r="AQ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51"/>
      <c r="BC163" s="51"/>
      <c r="BD163" s="51"/>
      <c r="BE163" s="51"/>
      <c r="BF163" s="51"/>
      <c r="BG163" s="51"/>
      <c r="BH163" s="51"/>
      <c r="BI163" s="51"/>
      <c r="BJ163" s="51"/>
      <c r="BK163" s="51"/>
      <c r="BL163" s="51"/>
      <c r="BM163" s="51"/>
      <c r="BN163" s="51"/>
      <c r="BO163" s="51"/>
      <c r="BP163" s="51"/>
      <c r="BQ163" s="51"/>
      <c r="BR163" s="51"/>
      <c r="BS163" s="51"/>
      <c r="BT163" s="51"/>
      <c r="BU163" s="51"/>
      <c r="BV163" s="51"/>
      <c r="BW163" s="51"/>
      <c r="BX163" s="51"/>
      <c r="BY163" s="51"/>
      <c r="BZ163" s="51"/>
      <c r="CA163" s="51"/>
      <c r="CB163" s="51"/>
      <c r="CC163" s="51"/>
      <c r="CD163" s="51"/>
      <c r="CE163" s="51"/>
      <c r="CF163" s="51"/>
      <c r="CG163" s="51"/>
      <c r="CH163" s="51"/>
      <c r="CI163" s="51"/>
      <c r="CJ163" s="51"/>
      <c r="CK163" s="51"/>
      <c r="CL163" s="51"/>
      <c r="CM163" s="51"/>
      <c r="CN163" s="51"/>
      <c r="CO163" s="51"/>
      <c r="CP163" s="51"/>
      <c r="CQ163" s="51"/>
      <c r="CR163" s="51"/>
      <c r="CS163" s="51"/>
      <c r="CT163" s="42" t="str">
        <f>IFERROR(('基本数据输入&amp;测算结果'!$C$19*7-AVERAGE(B163:Y163,CP163:CS163)*7-'基本数据输入&amp;测算结果'!$C$23*7)/'基本数据输入&amp;测算结果'!$C$21*'基本数据输入&amp;测算结果'!$C$22,"无数据/数据缺失")</f>
        <v>无数据/数据缺失</v>
      </c>
      <c r="CU163" s="42">
        <f>IF(CT163&lt;0,0,IF(CT163="无数据/数据缺失",0%,IF(CT163&gt;'基本数据输入&amp;测算结果'!$C$20,100%,CT163/'基本数据输入&amp;测算结果'!$C$20)))</f>
        <v>0</v>
      </c>
      <c r="CV163" s="42" t="str">
        <f>IFERROR((AVERAGE(Z163:AG163)*2-'基本数据输入&amp;测算结果'!$C$24*2)/'基本数据输入&amp;测算结果'!$C$21/'基本数据输入&amp;测算结果'!$C$22,"无数据/数据缺失")</f>
        <v>无数据/数据缺失</v>
      </c>
      <c r="CW163" s="42">
        <f>IF(CV163&lt;0,0,IF(CV163="无数据/数据缺失",0%,IF(CV163&gt;'基本数据输入&amp;测算结果'!$C$20*CU163,CU163,CV163/'基本数据输入&amp;测算结果'!$C$20*CU163)))</f>
        <v>0</v>
      </c>
      <c r="CX163" s="42" t="str">
        <f>IFERROR(('基本数据输入&amp;测算结果'!$C$19*3-AVERAGE(AT163:BE163)*3-'基本数据输入&amp;测算结果'!$C$23*3)/'基本数据输入&amp;测算结果'!$C$21*'基本数据输入&amp;测算结果'!$C$22,"无数据/数据缺失")</f>
        <v>无数据/数据缺失</v>
      </c>
      <c r="CY163" s="42">
        <f>IF(CX163&lt;0,0,IF(CX163="无数据/数据缺失",0%,IF(CX163&gt;'基本数据输入&amp;测算结果'!$C$20,100%,CX163/'基本数据输入&amp;测算结果'!$C$20)))</f>
        <v>0</v>
      </c>
      <c r="CZ163" s="42" t="str">
        <f>IFERROR((AVERAGE(BN163:CK163)*6-'基本数据输入&amp;测算结果'!$C$24*6)/'基本数据输入&amp;测算结果'!$C$21/'基本数据输入&amp;测算结果'!$C$22,"无数据/数据缺失")</f>
        <v>无数据/数据缺失</v>
      </c>
      <c r="DA163" s="42">
        <f>IF(CZ163&lt;0,0,IF(CZ163="无数据/数据缺失",0,IF('基本数据输入&amp;测算结果'!$C$20*CY163&gt;CZ163,CZ163/'基本数据输入&amp;测算结果'!$C$20*CY163,CY163)))</f>
        <v>0</v>
      </c>
      <c r="DB163" s="49">
        <f t="shared" si="9"/>
        <v>0</v>
      </c>
      <c r="DC163" s="50"/>
      <c r="DD163" s="50"/>
    </row>
    <row r="164" customHeight="1" spans="1:108">
      <c r="A164" s="52" t="s">
        <v>218</v>
      </c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51"/>
      <c r="AQ164" s="51"/>
      <c r="AR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51"/>
      <c r="BC164" s="51"/>
      <c r="BD164" s="51"/>
      <c r="BE164" s="51"/>
      <c r="BF164" s="51"/>
      <c r="BG164" s="51"/>
      <c r="BH164" s="51"/>
      <c r="BI164" s="51"/>
      <c r="BJ164" s="51"/>
      <c r="BK164" s="51"/>
      <c r="BL164" s="51"/>
      <c r="BM164" s="51"/>
      <c r="BN164" s="51"/>
      <c r="BO164" s="51"/>
      <c r="BP164" s="51"/>
      <c r="BQ164" s="51"/>
      <c r="BR164" s="51"/>
      <c r="BS164" s="51"/>
      <c r="BT164" s="51"/>
      <c r="BU164" s="51"/>
      <c r="BV164" s="51"/>
      <c r="BW164" s="51"/>
      <c r="BX164" s="51"/>
      <c r="BY164" s="51"/>
      <c r="BZ164" s="51"/>
      <c r="CA164" s="51"/>
      <c r="CB164" s="51"/>
      <c r="CC164" s="51"/>
      <c r="CD164" s="51"/>
      <c r="CE164" s="51"/>
      <c r="CF164" s="51"/>
      <c r="CG164" s="51"/>
      <c r="CH164" s="51"/>
      <c r="CI164" s="51"/>
      <c r="CJ164" s="51"/>
      <c r="CK164" s="51"/>
      <c r="CL164" s="51"/>
      <c r="CM164" s="51"/>
      <c r="CN164" s="51"/>
      <c r="CO164" s="51"/>
      <c r="CP164" s="51"/>
      <c r="CQ164" s="51"/>
      <c r="CR164" s="51"/>
      <c r="CS164" s="51"/>
      <c r="CT164" s="42" t="str">
        <f>IFERROR(('基本数据输入&amp;测算结果'!$C$19*7-AVERAGE(B164:Y164,CP164:CS164)*7-'基本数据输入&amp;测算结果'!$C$23*7)/'基本数据输入&amp;测算结果'!$C$21*'基本数据输入&amp;测算结果'!$C$22,"无数据/数据缺失")</f>
        <v>无数据/数据缺失</v>
      </c>
      <c r="CU164" s="42">
        <f>IF(CT164&lt;0,0,IF(CT164="无数据/数据缺失",0%,IF(CT164&gt;'基本数据输入&amp;测算结果'!$C$20,100%,CT164/'基本数据输入&amp;测算结果'!$C$20)))</f>
        <v>0</v>
      </c>
      <c r="CV164" s="42" t="str">
        <f>IFERROR((AVERAGE(Z164:AG164)*2-'基本数据输入&amp;测算结果'!$C$24*2)/'基本数据输入&amp;测算结果'!$C$21/'基本数据输入&amp;测算结果'!$C$22,"无数据/数据缺失")</f>
        <v>无数据/数据缺失</v>
      </c>
      <c r="CW164" s="42">
        <f>IF(CV164&lt;0,0,IF(CV164="无数据/数据缺失",0%,IF(CV164&gt;'基本数据输入&amp;测算结果'!$C$20*CU164,CU164,CV164/'基本数据输入&amp;测算结果'!$C$20*CU164)))</f>
        <v>0</v>
      </c>
      <c r="CX164" s="42" t="str">
        <f>IFERROR(('基本数据输入&amp;测算结果'!$C$19*3-AVERAGE(AT164:BE164)*3-'基本数据输入&amp;测算结果'!$C$23*3)/'基本数据输入&amp;测算结果'!$C$21*'基本数据输入&amp;测算结果'!$C$22,"无数据/数据缺失")</f>
        <v>无数据/数据缺失</v>
      </c>
      <c r="CY164" s="42">
        <f>IF(CX164&lt;0,0,IF(CX164="无数据/数据缺失",0%,IF(CX164&gt;'基本数据输入&amp;测算结果'!$C$20,100%,CX164/'基本数据输入&amp;测算结果'!$C$20)))</f>
        <v>0</v>
      </c>
      <c r="CZ164" s="42" t="str">
        <f>IFERROR((AVERAGE(BN164:CK164)*6-'基本数据输入&amp;测算结果'!$C$24*6)/'基本数据输入&amp;测算结果'!$C$21/'基本数据输入&amp;测算结果'!$C$22,"无数据/数据缺失")</f>
        <v>无数据/数据缺失</v>
      </c>
      <c r="DA164" s="42">
        <f>IF(CZ164&lt;0,0,IF(CZ164="无数据/数据缺失",0,IF('基本数据输入&amp;测算结果'!$C$20*CY164&gt;CZ164,CZ164/'基本数据输入&amp;测算结果'!$C$20*CY164,CY164)))</f>
        <v>0</v>
      </c>
      <c r="DB164" s="49">
        <f t="shared" si="9"/>
        <v>0</v>
      </c>
      <c r="DC164" s="50"/>
      <c r="DD164" s="50"/>
    </row>
    <row r="165" customHeight="1" spans="1:108">
      <c r="A165" s="52" t="s">
        <v>219</v>
      </c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51"/>
      <c r="AQ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51"/>
      <c r="BC165" s="51"/>
      <c r="BD165" s="51"/>
      <c r="BE165" s="51"/>
      <c r="BF165" s="51"/>
      <c r="BG165" s="51"/>
      <c r="BH165" s="51"/>
      <c r="BI165" s="51"/>
      <c r="BJ165" s="51"/>
      <c r="BK165" s="51"/>
      <c r="BL165" s="51"/>
      <c r="BM165" s="51"/>
      <c r="BN165" s="51"/>
      <c r="BO165" s="51"/>
      <c r="BP165" s="51"/>
      <c r="BQ165" s="51"/>
      <c r="BR165" s="51"/>
      <c r="BS165" s="51"/>
      <c r="BT165" s="51"/>
      <c r="BU165" s="51"/>
      <c r="BV165" s="51"/>
      <c r="BW165" s="51"/>
      <c r="BX165" s="51"/>
      <c r="BY165" s="51"/>
      <c r="BZ165" s="51"/>
      <c r="CA165" s="51"/>
      <c r="CB165" s="51"/>
      <c r="CC165" s="51"/>
      <c r="CD165" s="51"/>
      <c r="CE165" s="51"/>
      <c r="CF165" s="51"/>
      <c r="CG165" s="51"/>
      <c r="CH165" s="51"/>
      <c r="CI165" s="51"/>
      <c r="CJ165" s="51"/>
      <c r="CK165" s="51"/>
      <c r="CL165" s="51"/>
      <c r="CM165" s="51"/>
      <c r="CN165" s="51"/>
      <c r="CO165" s="51"/>
      <c r="CP165" s="51"/>
      <c r="CQ165" s="51"/>
      <c r="CR165" s="51"/>
      <c r="CS165" s="51"/>
      <c r="CT165" s="42" t="str">
        <f>IFERROR(('基本数据输入&amp;测算结果'!$C$19*7-AVERAGE(B165:Y165,CP165:CS165)*7-'基本数据输入&amp;测算结果'!$C$23*7)/'基本数据输入&amp;测算结果'!$C$21*'基本数据输入&amp;测算结果'!$C$22,"无数据/数据缺失")</f>
        <v>无数据/数据缺失</v>
      </c>
      <c r="CU165" s="42">
        <f>IF(CT165&lt;0,0,IF(CT165="无数据/数据缺失",0%,IF(CT165&gt;'基本数据输入&amp;测算结果'!$C$20,100%,CT165/'基本数据输入&amp;测算结果'!$C$20)))</f>
        <v>0</v>
      </c>
      <c r="CV165" s="42" t="str">
        <f>IFERROR((AVERAGE(Z165:AG165)*2-'基本数据输入&amp;测算结果'!$C$24*2)/'基本数据输入&amp;测算结果'!$C$21/'基本数据输入&amp;测算结果'!$C$22,"无数据/数据缺失")</f>
        <v>无数据/数据缺失</v>
      </c>
      <c r="CW165" s="42">
        <f>IF(CV165&lt;0,0,IF(CV165="无数据/数据缺失",0%,IF(CV165&gt;'基本数据输入&amp;测算结果'!$C$20*CU165,CU165,CV165/'基本数据输入&amp;测算结果'!$C$20*CU165)))</f>
        <v>0</v>
      </c>
      <c r="CX165" s="42" t="str">
        <f>IFERROR(('基本数据输入&amp;测算结果'!$C$19*3-AVERAGE(AT165:BE165)*3-'基本数据输入&amp;测算结果'!$C$23*3)/'基本数据输入&amp;测算结果'!$C$21*'基本数据输入&amp;测算结果'!$C$22,"无数据/数据缺失")</f>
        <v>无数据/数据缺失</v>
      </c>
      <c r="CY165" s="42">
        <f>IF(CX165&lt;0,0,IF(CX165="无数据/数据缺失",0%,IF(CX165&gt;'基本数据输入&amp;测算结果'!$C$20,100%,CX165/'基本数据输入&amp;测算结果'!$C$20)))</f>
        <v>0</v>
      </c>
      <c r="CZ165" s="42" t="str">
        <f>IFERROR((AVERAGE(BN165:CK165)*6-'基本数据输入&amp;测算结果'!$C$24*6)/'基本数据输入&amp;测算结果'!$C$21/'基本数据输入&amp;测算结果'!$C$22,"无数据/数据缺失")</f>
        <v>无数据/数据缺失</v>
      </c>
      <c r="DA165" s="42">
        <f>IF(CZ165&lt;0,0,IF(CZ165="无数据/数据缺失",0,IF('基本数据输入&amp;测算结果'!$C$20*CY165&gt;CZ165,CZ165/'基本数据输入&amp;测算结果'!$C$20*CY165,CY165)))</f>
        <v>0</v>
      </c>
      <c r="DB165" s="49">
        <f t="shared" si="9"/>
        <v>0</v>
      </c>
      <c r="DC165" s="50"/>
      <c r="DD165" s="50"/>
    </row>
    <row r="166" customHeight="1" spans="1:108">
      <c r="A166" s="52" t="s">
        <v>220</v>
      </c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51"/>
      <c r="AQ166" s="51"/>
      <c r="AR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51"/>
      <c r="BC166" s="51"/>
      <c r="BD166" s="51"/>
      <c r="BE166" s="51"/>
      <c r="BF166" s="51"/>
      <c r="BG166" s="51"/>
      <c r="BH166" s="51"/>
      <c r="BI166" s="51"/>
      <c r="BJ166" s="51"/>
      <c r="BK166" s="51"/>
      <c r="BL166" s="51"/>
      <c r="BM166" s="51"/>
      <c r="BN166" s="51"/>
      <c r="BO166" s="51"/>
      <c r="BP166" s="51"/>
      <c r="BQ166" s="51"/>
      <c r="BR166" s="51"/>
      <c r="BS166" s="51"/>
      <c r="BT166" s="51"/>
      <c r="BU166" s="51"/>
      <c r="BV166" s="51"/>
      <c r="BW166" s="51"/>
      <c r="BX166" s="51"/>
      <c r="BY166" s="51"/>
      <c r="BZ166" s="51"/>
      <c r="CA166" s="51"/>
      <c r="CB166" s="51"/>
      <c r="CC166" s="51"/>
      <c r="CD166" s="51"/>
      <c r="CE166" s="51"/>
      <c r="CF166" s="51"/>
      <c r="CG166" s="51"/>
      <c r="CH166" s="51"/>
      <c r="CI166" s="51"/>
      <c r="CJ166" s="51"/>
      <c r="CK166" s="51"/>
      <c r="CL166" s="51"/>
      <c r="CM166" s="51"/>
      <c r="CN166" s="51"/>
      <c r="CO166" s="51"/>
      <c r="CP166" s="51"/>
      <c r="CQ166" s="51"/>
      <c r="CR166" s="51"/>
      <c r="CS166" s="51"/>
      <c r="CT166" s="42" t="str">
        <f>IFERROR(('基本数据输入&amp;测算结果'!$C$19*7-AVERAGE(B166:Y166,CP166:CS166)*7-'基本数据输入&amp;测算结果'!$C$23*7)/'基本数据输入&amp;测算结果'!$C$21*'基本数据输入&amp;测算结果'!$C$22,"无数据/数据缺失")</f>
        <v>无数据/数据缺失</v>
      </c>
      <c r="CU166" s="42">
        <f>IF(CT166&lt;0,0,IF(CT166="无数据/数据缺失",0%,IF(CT166&gt;'基本数据输入&amp;测算结果'!$C$20,100%,CT166/'基本数据输入&amp;测算结果'!$C$20)))</f>
        <v>0</v>
      </c>
      <c r="CV166" s="42" t="str">
        <f>IFERROR((AVERAGE(Z166:AG166)*2-'基本数据输入&amp;测算结果'!$C$24*2)/'基本数据输入&amp;测算结果'!$C$21/'基本数据输入&amp;测算结果'!$C$22,"无数据/数据缺失")</f>
        <v>无数据/数据缺失</v>
      </c>
      <c r="CW166" s="42">
        <f>IF(CV166&lt;0,0,IF(CV166="无数据/数据缺失",0%,IF(CV166&gt;'基本数据输入&amp;测算结果'!$C$20*CU166,CU166,CV166/'基本数据输入&amp;测算结果'!$C$20*CU166)))</f>
        <v>0</v>
      </c>
      <c r="CX166" s="42" t="str">
        <f>IFERROR(('基本数据输入&amp;测算结果'!$C$19*3-AVERAGE(AT166:BE166)*3-'基本数据输入&amp;测算结果'!$C$23*3)/'基本数据输入&amp;测算结果'!$C$21*'基本数据输入&amp;测算结果'!$C$22,"无数据/数据缺失")</f>
        <v>无数据/数据缺失</v>
      </c>
      <c r="CY166" s="42">
        <f>IF(CX166&lt;0,0,IF(CX166="无数据/数据缺失",0%,IF(CX166&gt;'基本数据输入&amp;测算结果'!$C$20,100%,CX166/'基本数据输入&amp;测算结果'!$C$20)))</f>
        <v>0</v>
      </c>
      <c r="CZ166" s="42" t="str">
        <f>IFERROR((AVERAGE(BN166:CK166)*6-'基本数据输入&amp;测算结果'!$C$24*6)/'基本数据输入&amp;测算结果'!$C$21/'基本数据输入&amp;测算结果'!$C$22,"无数据/数据缺失")</f>
        <v>无数据/数据缺失</v>
      </c>
      <c r="DA166" s="42">
        <f>IF(CZ166&lt;0,0,IF(CZ166="无数据/数据缺失",0,IF('基本数据输入&amp;测算结果'!$C$20*CY166&gt;CZ166,CZ166/'基本数据输入&amp;测算结果'!$C$20*CY166,CY166)))</f>
        <v>0</v>
      </c>
      <c r="DB166" s="49">
        <f t="shared" si="9"/>
        <v>0</v>
      </c>
      <c r="DC166" s="50"/>
      <c r="DD166" s="50"/>
    </row>
    <row r="167" customHeight="1" spans="1:108">
      <c r="A167" s="52" t="s">
        <v>221</v>
      </c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51"/>
      <c r="AQ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51"/>
      <c r="BC167" s="51"/>
      <c r="BD167" s="51"/>
      <c r="BE167" s="51"/>
      <c r="BF167" s="51"/>
      <c r="BG167" s="51"/>
      <c r="BH167" s="51"/>
      <c r="BI167" s="51"/>
      <c r="BJ167" s="51"/>
      <c r="BK167" s="51"/>
      <c r="BL167" s="51"/>
      <c r="BM167" s="51"/>
      <c r="BN167" s="51"/>
      <c r="BO167" s="51"/>
      <c r="BP167" s="51"/>
      <c r="BQ167" s="51"/>
      <c r="BR167" s="51"/>
      <c r="BS167" s="51"/>
      <c r="BT167" s="51"/>
      <c r="BU167" s="51"/>
      <c r="BV167" s="51"/>
      <c r="BW167" s="51"/>
      <c r="BX167" s="51"/>
      <c r="BY167" s="51"/>
      <c r="BZ167" s="51"/>
      <c r="CA167" s="51"/>
      <c r="CB167" s="51"/>
      <c r="CC167" s="51"/>
      <c r="CD167" s="51"/>
      <c r="CE167" s="51"/>
      <c r="CF167" s="51"/>
      <c r="CG167" s="51"/>
      <c r="CH167" s="51"/>
      <c r="CI167" s="51"/>
      <c r="CJ167" s="51"/>
      <c r="CK167" s="51"/>
      <c r="CL167" s="51"/>
      <c r="CM167" s="51"/>
      <c r="CN167" s="51"/>
      <c r="CO167" s="51"/>
      <c r="CP167" s="51"/>
      <c r="CQ167" s="51"/>
      <c r="CR167" s="51"/>
      <c r="CS167" s="51"/>
      <c r="CT167" s="42" t="str">
        <f>IFERROR(('基本数据输入&amp;测算结果'!$C$19*7-AVERAGE(B167:Y167,CP167:CS167)*7-'基本数据输入&amp;测算结果'!$C$23*7)/'基本数据输入&amp;测算结果'!$C$21*'基本数据输入&amp;测算结果'!$C$22,"无数据/数据缺失")</f>
        <v>无数据/数据缺失</v>
      </c>
      <c r="CU167" s="42">
        <f>IF(CT167&lt;0,0,IF(CT167="无数据/数据缺失",0%,IF(CT167&gt;'基本数据输入&amp;测算结果'!$C$20,100%,CT167/'基本数据输入&amp;测算结果'!$C$20)))</f>
        <v>0</v>
      </c>
      <c r="CV167" s="42" t="str">
        <f>IFERROR((AVERAGE(Z167:AG167)*2-'基本数据输入&amp;测算结果'!$C$24*2)/'基本数据输入&amp;测算结果'!$C$21/'基本数据输入&amp;测算结果'!$C$22,"无数据/数据缺失")</f>
        <v>无数据/数据缺失</v>
      </c>
      <c r="CW167" s="42">
        <f>IF(CV167&lt;0,0,IF(CV167="无数据/数据缺失",0%,IF(CV167&gt;'基本数据输入&amp;测算结果'!$C$20*CU167,CU167,CV167/'基本数据输入&amp;测算结果'!$C$20*CU167)))</f>
        <v>0</v>
      </c>
      <c r="CX167" s="42" t="str">
        <f>IFERROR(('基本数据输入&amp;测算结果'!$C$19*3-AVERAGE(AT167:BE167)*3-'基本数据输入&amp;测算结果'!$C$23*3)/'基本数据输入&amp;测算结果'!$C$21*'基本数据输入&amp;测算结果'!$C$22,"无数据/数据缺失")</f>
        <v>无数据/数据缺失</v>
      </c>
      <c r="CY167" s="42">
        <f>IF(CX167&lt;0,0,IF(CX167="无数据/数据缺失",0%,IF(CX167&gt;'基本数据输入&amp;测算结果'!$C$20,100%,CX167/'基本数据输入&amp;测算结果'!$C$20)))</f>
        <v>0</v>
      </c>
      <c r="CZ167" s="42" t="str">
        <f>IFERROR((AVERAGE(BN167:CK167)*6-'基本数据输入&amp;测算结果'!$C$24*6)/'基本数据输入&amp;测算结果'!$C$21/'基本数据输入&amp;测算结果'!$C$22,"无数据/数据缺失")</f>
        <v>无数据/数据缺失</v>
      </c>
      <c r="DA167" s="42">
        <f>IF(CZ167&lt;0,0,IF(CZ167="无数据/数据缺失",0,IF('基本数据输入&amp;测算结果'!$C$20*CY167&gt;CZ167,CZ167/'基本数据输入&amp;测算结果'!$C$20*CY167,CY167)))</f>
        <v>0</v>
      </c>
      <c r="DB167" s="49">
        <f t="shared" si="9"/>
        <v>0</v>
      </c>
      <c r="DC167" s="50"/>
      <c r="DD167" s="50"/>
    </row>
    <row r="168" customHeight="1" spans="1:108">
      <c r="A168" s="52" t="s">
        <v>222</v>
      </c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51"/>
      <c r="AQ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51"/>
      <c r="BC168" s="51"/>
      <c r="BD168" s="51"/>
      <c r="BE168" s="51"/>
      <c r="BF168" s="51"/>
      <c r="BG168" s="51"/>
      <c r="BH168" s="51"/>
      <c r="BI168" s="51"/>
      <c r="BJ168" s="51"/>
      <c r="BK168" s="51"/>
      <c r="BL168" s="51"/>
      <c r="BM168" s="51"/>
      <c r="BN168" s="51"/>
      <c r="BO168" s="51"/>
      <c r="BP168" s="51"/>
      <c r="BQ168" s="51"/>
      <c r="BR168" s="51"/>
      <c r="BS168" s="51"/>
      <c r="BT168" s="51"/>
      <c r="BU168" s="51"/>
      <c r="BV168" s="51"/>
      <c r="BW168" s="51"/>
      <c r="BX168" s="51"/>
      <c r="BY168" s="51"/>
      <c r="BZ168" s="51"/>
      <c r="CA168" s="51"/>
      <c r="CB168" s="51"/>
      <c r="CC168" s="51"/>
      <c r="CD168" s="51"/>
      <c r="CE168" s="51"/>
      <c r="CF168" s="51"/>
      <c r="CG168" s="51"/>
      <c r="CH168" s="51"/>
      <c r="CI168" s="51"/>
      <c r="CJ168" s="51"/>
      <c r="CK168" s="51"/>
      <c r="CL168" s="51"/>
      <c r="CM168" s="51"/>
      <c r="CN168" s="51"/>
      <c r="CO168" s="51"/>
      <c r="CP168" s="51"/>
      <c r="CQ168" s="51"/>
      <c r="CR168" s="51"/>
      <c r="CS168" s="51"/>
      <c r="CT168" s="42" t="str">
        <f>IFERROR(('基本数据输入&amp;测算结果'!$C$19*7-AVERAGE(B168:Y168,CP168:CS168)*7-'基本数据输入&amp;测算结果'!$C$23*7)/'基本数据输入&amp;测算结果'!$C$21*'基本数据输入&amp;测算结果'!$C$22,"无数据/数据缺失")</f>
        <v>无数据/数据缺失</v>
      </c>
      <c r="CU168" s="42">
        <f>IF(CT168&lt;0,0,IF(CT168="无数据/数据缺失",0%,IF(CT168&gt;'基本数据输入&amp;测算结果'!$C$20,100%,CT168/'基本数据输入&amp;测算结果'!$C$20)))</f>
        <v>0</v>
      </c>
      <c r="CV168" s="42" t="str">
        <f>IFERROR((AVERAGE(Z168:AG168)*2-'基本数据输入&amp;测算结果'!$C$24*2)/'基本数据输入&amp;测算结果'!$C$21/'基本数据输入&amp;测算结果'!$C$22,"无数据/数据缺失")</f>
        <v>无数据/数据缺失</v>
      </c>
      <c r="CW168" s="42">
        <f>IF(CV168&lt;0,0,IF(CV168="无数据/数据缺失",0%,IF(CV168&gt;'基本数据输入&amp;测算结果'!$C$20*CU168,CU168,CV168/'基本数据输入&amp;测算结果'!$C$20*CU168)))</f>
        <v>0</v>
      </c>
      <c r="CX168" s="42" t="str">
        <f>IFERROR(('基本数据输入&amp;测算结果'!$C$19*3-AVERAGE(AT168:BE168)*3-'基本数据输入&amp;测算结果'!$C$23*3)/'基本数据输入&amp;测算结果'!$C$21*'基本数据输入&amp;测算结果'!$C$22,"无数据/数据缺失")</f>
        <v>无数据/数据缺失</v>
      </c>
      <c r="CY168" s="42">
        <f>IF(CX168&lt;0,0,IF(CX168="无数据/数据缺失",0%,IF(CX168&gt;'基本数据输入&amp;测算结果'!$C$20,100%,CX168/'基本数据输入&amp;测算结果'!$C$20)))</f>
        <v>0</v>
      </c>
      <c r="CZ168" s="42" t="str">
        <f>IFERROR((AVERAGE(BN168:CK168)*6-'基本数据输入&amp;测算结果'!$C$24*6)/'基本数据输入&amp;测算结果'!$C$21/'基本数据输入&amp;测算结果'!$C$22,"无数据/数据缺失")</f>
        <v>无数据/数据缺失</v>
      </c>
      <c r="DA168" s="42">
        <f>IF(CZ168&lt;0,0,IF(CZ168="无数据/数据缺失",0,IF('基本数据输入&amp;测算结果'!$C$20*CY168&gt;CZ168,CZ168/'基本数据输入&amp;测算结果'!$C$20*CY168,CY168)))</f>
        <v>0</v>
      </c>
      <c r="DB168" s="49">
        <f t="shared" si="9"/>
        <v>0</v>
      </c>
      <c r="DC168" s="50"/>
      <c r="DD168" s="50"/>
    </row>
    <row r="169" customHeight="1" spans="1:108">
      <c r="A169" s="52" t="s">
        <v>223</v>
      </c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51"/>
      <c r="AQ169" s="51"/>
      <c r="AR169" s="51"/>
      <c r="AS169" s="51"/>
      <c r="AT169" s="51"/>
      <c r="AU169" s="51"/>
      <c r="AV169" s="51"/>
      <c r="AW169" s="51"/>
      <c r="AX169" s="51"/>
      <c r="AY169" s="51"/>
      <c r="AZ169" s="51"/>
      <c r="BA169" s="51"/>
      <c r="BB169" s="51"/>
      <c r="BC169" s="51"/>
      <c r="BD169" s="51"/>
      <c r="BE169" s="51"/>
      <c r="BF169" s="51"/>
      <c r="BG169" s="51"/>
      <c r="BH169" s="51"/>
      <c r="BI169" s="51"/>
      <c r="BJ169" s="51"/>
      <c r="BK169" s="51"/>
      <c r="BL169" s="51"/>
      <c r="BM169" s="51"/>
      <c r="BN169" s="51"/>
      <c r="BO169" s="51"/>
      <c r="BP169" s="51"/>
      <c r="BQ169" s="51"/>
      <c r="BR169" s="51"/>
      <c r="BS169" s="51"/>
      <c r="BT169" s="51"/>
      <c r="BU169" s="51"/>
      <c r="BV169" s="51"/>
      <c r="BW169" s="51"/>
      <c r="BX169" s="51"/>
      <c r="BY169" s="51"/>
      <c r="BZ169" s="51"/>
      <c r="CA169" s="51"/>
      <c r="CB169" s="51"/>
      <c r="CC169" s="51"/>
      <c r="CD169" s="51"/>
      <c r="CE169" s="51"/>
      <c r="CF169" s="51"/>
      <c r="CG169" s="51"/>
      <c r="CH169" s="51"/>
      <c r="CI169" s="51"/>
      <c r="CJ169" s="51"/>
      <c r="CK169" s="51"/>
      <c r="CL169" s="51"/>
      <c r="CM169" s="51"/>
      <c r="CN169" s="51"/>
      <c r="CO169" s="51"/>
      <c r="CP169" s="51"/>
      <c r="CQ169" s="51"/>
      <c r="CR169" s="51"/>
      <c r="CS169" s="51"/>
      <c r="CT169" s="42" t="str">
        <f>IFERROR(('基本数据输入&amp;测算结果'!$C$19*7-AVERAGE(B169:Y169,CP169:CS169)*7-'基本数据输入&amp;测算结果'!$C$23*7)/'基本数据输入&amp;测算结果'!$C$21*'基本数据输入&amp;测算结果'!$C$22,"无数据/数据缺失")</f>
        <v>无数据/数据缺失</v>
      </c>
      <c r="CU169" s="42">
        <f>IF(CT169&lt;0,0,IF(CT169="无数据/数据缺失",0%,IF(CT169&gt;'基本数据输入&amp;测算结果'!$C$20,100%,CT169/'基本数据输入&amp;测算结果'!$C$20)))</f>
        <v>0</v>
      </c>
      <c r="CV169" s="42" t="str">
        <f>IFERROR((AVERAGE(Z169:AG169)*2-'基本数据输入&amp;测算结果'!$C$24*2)/'基本数据输入&amp;测算结果'!$C$21/'基本数据输入&amp;测算结果'!$C$22,"无数据/数据缺失")</f>
        <v>无数据/数据缺失</v>
      </c>
      <c r="CW169" s="42">
        <f>IF(CV169&lt;0,0,IF(CV169="无数据/数据缺失",0%,IF(CV169&gt;'基本数据输入&amp;测算结果'!$C$20*CU169,CU169,CV169/'基本数据输入&amp;测算结果'!$C$20*CU169)))</f>
        <v>0</v>
      </c>
      <c r="CX169" s="42" t="str">
        <f>IFERROR(('基本数据输入&amp;测算结果'!$C$19*3-AVERAGE(AT169:BE169)*3-'基本数据输入&amp;测算结果'!$C$23*3)/'基本数据输入&amp;测算结果'!$C$21*'基本数据输入&amp;测算结果'!$C$22,"无数据/数据缺失")</f>
        <v>无数据/数据缺失</v>
      </c>
      <c r="CY169" s="42">
        <f>IF(CX169&lt;0,0,IF(CX169="无数据/数据缺失",0%,IF(CX169&gt;'基本数据输入&amp;测算结果'!$C$20,100%,CX169/'基本数据输入&amp;测算结果'!$C$20)))</f>
        <v>0</v>
      </c>
      <c r="CZ169" s="42" t="str">
        <f>IFERROR((AVERAGE(BN169:CK169)*6-'基本数据输入&amp;测算结果'!$C$24*6)/'基本数据输入&amp;测算结果'!$C$21/'基本数据输入&amp;测算结果'!$C$22,"无数据/数据缺失")</f>
        <v>无数据/数据缺失</v>
      </c>
      <c r="DA169" s="42">
        <f>IF(CZ169&lt;0,0,IF(CZ169="无数据/数据缺失",0,IF('基本数据输入&amp;测算结果'!$C$20*CY169&gt;CZ169,CZ169/'基本数据输入&amp;测算结果'!$C$20*CY169,CY169)))</f>
        <v>0</v>
      </c>
      <c r="DB169" s="49">
        <f t="shared" si="9"/>
        <v>0</v>
      </c>
      <c r="DC169" s="50"/>
      <c r="DD169" s="50"/>
    </row>
    <row r="170" customHeight="1" spans="1:108">
      <c r="A170" s="52" t="s">
        <v>224</v>
      </c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51"/>
      <c r="AQ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  <c r="BB170" s="51"/>
      <c r="BC170" s="51"/>
      <c r="BD170" s="51"/>
      <c r="BE170" s="51"/>
      <c r="BF170" s="51"/>
      <c r="BG170" s="51"/>
      <c r="BH170" s="51"/>
      <c r="BI170" s="51"/>
      <c r="BJ170" s="51"/>
      <c r="BK170" s="51"/>
      <c r="BL170" s="51"/>
      <c r="BM170" s="51"/>
      <c r="BN170" s="51"/>
      <c r="BO170" s="51"/>
      <c r="BP170" s="51"/>
      <c r="BQ170" s="51"/>
      <c r="BR170" s="51"/>
      <c r="BS170" s="51"/>
      <c r="BT170" s="51"/>
      <c r="BU170" s="51"/>
      <c r="BV170" s="51"/>
      <c r="BW170" s="51"/>
      <c r="BX170" s="51"/>
      <c r="BY170" s="51"/>
      <c r="BZ170" s="51"/>
      <c r="CA170" s="51"/>
      <c r="CB170" s="51"/>
      <c r="CC170" s="51"/>
      <c r="CD170" s="51"/>
      <c r="CE170" s="51"/>
      <c r="CF170" s="51"/>
      <c r="CG170" s="51"/>
      <c r="CH170" s="51"/>
      <c r="CI170" s="51"/>
      <c r="CJ170" s="51"/>
      <c r="CK170" s="51"/>
      <c r="CL170" s="51"/>
      <c r="CM170" s="51"/>
      <c r="CN170" s="51"/>
      <c r="CO170" s="51"/>
      <c r="CP170" s="51"/>
      <c r="CQ170" s="51"/>
      <c r="CR170" s="51"/>
      <c r="CS170" s="51"/>
      <c r="CT170" s="42" t="str">
        <f>IFERROR(('基本数据输入&amp;测算结果'!$C$19*7-AVERAGE(B170:Y170,CP170:CS170)*7-'基本数据输入&amp;测算结果'!$C$23*7)/'基本数据输入&amp;测算结果'!$C$21*'基本数据输入&amp;测算结果'!$C$22,"无数据/数据缺失")</f>
        <v>无数据/数据缺失</v>
      </c>
      <c r="CU170" s="42">
        <f>IF(CT170&lt;0,0,IF(CT170="无数据/数据缺失",0%,IF(CT170&gt;'基本数据输入&amp;测算结果'!$C$20,100%,CT170/'基本数据输入&amp;测算结果'!$C$20)))</f>
        <v>0</v>
      </c>
      <c r="CV170" s="42" t="str">
        <f>IFERROR((AVERAGE(Z170:AG170)*2-'基本数据输入&amp;测算结果'!$C$24*2)/'基本数据输入&amp;测算结果'!$C$21/'基本数据输入&amp;测算结果'!$C$22,"无数据/数据缺失")</f>
        <v>无数据/数据缺失</v>
      </c>
      <c r="CW170" s="42">
        <f>IF(CV170&lt;0,0,IF(CV170="无数据/数据缺失",0%,IF(CV170&gt;'基本数据输入&amp;测算结果'!$C$20*CU170,CU170,CV170/'基本数据输入&amp;测算结果'!$C$20*CU170)))</f>
        <v>0</v>
      </c>
      <c r="CX170" s="42" t="str">
        <f>IFERROR(('基本数据输入&amp;测算结果'!$C$19*3-AVERAGE(AT170:BE170)*3-'基本数据输入&amp;测算结果'!$C$23*3)/'基本数据输入&amp;测算结果'!$C$21*'基本数据输入&amp;测算结果'!$C$22,"无数据/数据缺失")</f>
        <v>无数据/数据缺失</v>
      </c>
      <c r="CY170" s="42">
        <f>IF(CX170&lt;0,0,IF(CX170="无数据/数据缺失",0%,IF(CX170&gt;'基本数据输入&amp;测算结果'!$C$20,100%,CX170/'基本数据输入&amp;测算结果'!$C$20)))</f>
        <v>0</v>
      </c>
      <c r="CZ170" s="42" t="str">
        <f>IFERROR((AVERAGE(BN170:CK170)*6-'基本数据输入&amp;测算结果'!$C$24*6)/'基本数据输入&amp;测算结果'!$C$21/'基本数据输入&amp;测算结果'!$C$22,"无数据/数据缺失")</f>
        <v>无数据/数据缺失</v>
      </c>
      <c r="DA170" s="42">
        <f>IF(CZ170&lt;0,0,IF(CZ170="无数据/数据缺失",0,IF('基本数据输入&amp;测算结果'!$C$20*CY170&gt;CZ170,CZ170/'基本数据输入&amp;测算结果'!$C$20*CY170,CY170)))</f>
        <v>0</v>
      </c>
      <c r="DB170" s="49">
        <f t="shared" si="9"/>
        <v>0</v>
      </c>
      <c r="DC170" s="50"/>
      <c r="DD170" s="50"/>
    </row>
    <row r="171" customHeight="1" spans="1:108">
      <c r="A171" s="52" t="s">
        <v>225</v>
      </c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51"/>
      <c r="AQ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51"/>
      <c r="BC171" s="51"/>
      <c r="BD171" s="51"/>
      <c r="BE171" s="51"/>
      <c r="BF171" s="51"/>
      <c r="BG171" s="51"/>
      <c r="BH171" s="51"/>
      <c r="BI171" s="51"/>
      <c r="BJ171" s="51"/>
      <c r="BK171" s="51"/>
      <c r="BL171" s="51"/>
      <c r="BM171" s="51"/>
      <c r="BN171" s="51"/>
      <c r="BO171" s="51"/>
      <c r="BP171" s="51"/>
      <c r="BQ171" s="51"/>
      <c r="BR171" s="51"/>
      <c r="BS171" s="51"/>
      <c r="BT171" s="51"/>
      <c r="BU171" s="51"/>
      <c r="BV171" s="51"/>
      <c r="BW171" s="51"/>
      <c r="BX171" s="51"/>
      <c r="BY171" s="51"/>
      <c r="BZ171" s="51"/>
      <c r="CA171" s="51"/>
      <c r="CB171" s="51"/>
      <c r="CC171" s="51"/>
      <c r="CD171" s="51"/>
      <c r="CE171" s="51"/>
      <c r="CF171" s="51"/>
      <c r="CG171" s="51"/>
      <c r="CH171" s="51"/>
      <c r="CI171" s="51"/>
      <c r="CJ171" s="51"/>
      <c r="CK171" s="51"/>
      <c r="CL171" s="51"/>
      <c r="CM171" s="51"/>
      <c r="CN171" s="51"/>
      <c r="CO171" s="51"/>
      <c r="CP171" s="51"/>
      <c r="CQ171" s="51"/>
      <c r="CR171" s="51"/>
      <c r="CS171" s="51"/>
      <c r="CT171" s="42" t="str">
        <f>IFERROR(('基本数据输入&amp;测算结果'!$C$19*7-AVERAGE(B171:Y171,CP171:CS171)*7-'基本数据输入&amp;测算结果'!$C$23*7)/'基本数据输入&amp;测算结果'!$C$21*'基本数据输入&amp;测算结果'!$C$22,"无数据/数据缺失")</f>
        <v>无数据/数据缺失</v>
      </c>
      <c r="CU171" s="42">
        <f>IF(CT171&lt;0,0,IF(CT171="无数据/数据缺失",0%,IF(CT171&gt;'基本数据输入&amp;测算结果'!$C$20,100%,CT171/'基本数据输入&amp;测算结果'!$C$20)))</f>
        <v>0</v>
      </c>
      <c r="CV171" s="42" t="str">
        <f>IFERROR((AVERAGE(Z171:AG171)*2-'基本数据输入&amp;测算结果'!$C$24*2)/'基本数据输入&amp;测算结果'!$C$21/'基本数据输入&amp;测算结果'!$C$22,"无数据/数据缺失")</f>
        <v>无数据/数据缺失</v>
      </c>
      <c r="CW171" s="42">
        <f>IF(CV171&lt;0,0,IF(CV171="无数据/数据缺失",0%,IF(CV171&gt;'基本数据输入&amp;测算结果'!$C$20*CU171,CU171,CV171/'基本数据输入&amp;测算结果'!$C$20*CU171)))</f>
        <v>0</v>
      </c>
      <c r="CX171" s="42" t="str">
        <f>IFERROR(('基本数据输入&amp;测算结果'!$C$19*3-AVERAGE(AT171:BE171)*3-'基本数据输入&amp;测算结果'!$C$23*3)/'基本数据输入&amp;测算结果'!$C$21*'基本数据输入&amp;测算结果'!$C$22,"无数据/数据缺失")</f>
        <v>无数据/数据缺失</v>
      </c>
      <c r="CY171" s="42">
        <f>IF(CX171&lt;0,0,IF(CX171="无数据/数据缺失",0%,IF(CX171&gt;'基本数据输入&amp;测算结果'!$C$20,100%,CX171/'基本数据输入&amp;测算结果'!$C$20)))</f>
        <v>0</v>
      </c>
      <c r="CZ171" s="42" t="str">
        <f>IFERROR((AVERAGE(BN171:CK171)*6-'基本数据输入&amp;测算结果'!$C$24*6)/'基本数据输入&amp;测算结果'!$C$21/'基本数据输入&amp;测算结果'!$C$22,"无数据/数据缺失")</f>
        <v>无数据/数据缺失</v>
      </c>
      <c r="DA171" s="42">
        <f>IF(CZ171&lt;0,0,IF(CZ171="无数据/数据缺失",0,IF('基本数据输入&amp;测算结果'!$C$20*CY171&gt;CZ171,CZ171/'基本数据输入&amp;测算结果'!$C$20*CY171,CY171)))</f>
        <v>0</v>
      </c>
      <c r="DB171" s="49">
        <f t="shared" si="9"/>
        <v>0</v>
      </c>
      <c r="DC171" s="50"/>
      <c r="DD171" s="50"/>
    </row>
    <row r="172" customHeight="1" spans="1:108">
      <c r="A172" s="52" t="s">
        <v>226</v>
      </c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51"/>
      <c r="AQ172" s="51"/>
      <c r="AR172" s="51"/>
      <c r="AS172" s="51"/>
      <c r="AT172" s="51"/>
      <c r="AU172" s="51"/>
      <c r="AV172" s="51"/>
      <c r="AW172" s="51"/>
      <c r="AX172" s="51"/>
      <c r="AY172" s="51"/>
      <c r="AZ172" s="51"/>
      <c r="BA172" s="51"/>
      <c r="BB172" s="51"/>
      <c r="BC172" s="51"/>
      <c r="BD172" s="51"/>
      <c r="BE172" s="51"/>
      <c r="BF172" s="51"/>
      <c r="BG172" s="51"/>
      <c r="BH172" s="51"/>
      <c r="BI172" s="51"/>
      <c r="BJ172" s="51"/>
      <c r="BK172" s="51"/>
      <c r="BL172" s="51"/>
      <c r="BM172" s="51"/>
      <c r="BN172" s="51"/>
      <c r="BO172" s="51"/>
      <c r="BP172" s="51"/>
      <c r="BQ172" s="51"/>
      <c r="BR172" s="51"/>
      <c r="BS172" s="51"/>
      <c r="BT172" s="51"/>
      <c r="BU172" s="51"/>
      <c r="BV172" s="51"/>
      <c r="BW172" s="51"/>
      <c r="BX172" s="51"/>
      <c r="BY172" s="51"/>
      <c r="BZ172" s="51"/>
      <c r="CA172" s="51"/>
      <c r="CB172" s="51"/>
      <c r="CC172" s="51"/>
      <c r="CD172" s="51"/>
      <c r="CE172" s="51"/>
      <c r="CF172" s="51"/>
      <c r="CG172" s="51"/>
      <c r="CH172" s="51"/>
      <c r="CI172" s="51"/>
      <c r="CJ172" s="51"/>
      <c r="CK172" s="51"/>
      <c r="CL172" s="51"/>
      <c r="CM172" s="51"/>
      <c r="CN172" s="51"/>
      <c r="CO172" s="51"/>
      <c r="CP172" s="51"/>
      <c r="CQ172" s="51"/>
      <c r="CR172" s="51"/>
      <c r="CS172" s="51"/>
      <c r="CT172" s="42" t="str">
        <f>IFERROR(('基本数据输入&amp;测算结果'!$C$19*7-AVERAGE(B172:Y172,CP172:CS172)*7-'基本数据输入&amp;测算结果'!$C$23*7)/'基本数据输入&amp;测算结果'!$C$21*'基本数据输入&amp;测算结果'!$C$22,"无数据/数据缺失")</f>
        <v>无数据/数据缺失</v>
      </c>
      <c r="CU172" s="42">
        <f>IF(CT172&lt;0,0,IF(CT172="无数据/数据缺失",0%,IF(CT172&gt;'基本数据输入&amp;测算结果'!$C$20,100%,CT172/'基本数据输入&amp;测算结果'!$C$20)))</f>
        <v>0</v>
      </c>
      <c r="CV172" s="42" t="str">
        <f>IFERROR((AVERAGE(Z172:AG172)*2-'基本数据输入&amp;测算结果'!$C$24*2)/'基本数据输入&amp;测算结果'!$C$21/'基本数据输入&amp;测算结果'!$C$22,"无数据/数据缺失")</f>
        <v>无数据/数据缺失</v>
      </c>
      <c r="CW172" s="42">
        <f>IF(CV172&lt;0,0,IF(CV172="无数据/数据缺失",0%,IF(CV172&gt;'基本数据输入&amp;测算结果'!$C$20*CU172,CU172,CV172/'基本数据输入&amp;测算结果'!$C$20*CU172)))</f>
        <v>0</v>
      </c>
      <c r="CX172" s="42" t="str">
        <f>IFERROR(('基本数据输入&amp;测算结果'!$C$19*3-AVERAGE(AT172:BE172)*3-'基本数据输入&amp;测算结果'!$C$23*3)/'基本数据输入&amp;测算结果'!$C$21*'基本数据输入&amp;测算结果'!$C$22,"无数据/数据缺失")</f>
        <v>无数据/数据缺失</v>
      </c>
      <c r="CY172" s="42">
        <f>IF(CX172&lt;0,0,IF(CX172="无数据/数据缺失",0%,IF(CX172&gt;'基本数据输入&amp;测算结果'!$C$20,100%,CX172/'基本数据输入&amp;测算结果'!$C$20)))</f>
        <v>0</v>
      </c>
      <c r="CZ172" s="42" t="str">
        <f>IFERROR((AVERAGE(BN172:CK172)*6-'基本数据输入&amp;测算结果'!$C$24*6)/'基本数据输入&amp;测算结果'!$C$21/'基本数据输入&amp;测算结果'!$C$22,"无数据/数据缺失")</f>
        <v>无数据/数据缺失</v>
      </c>
      <c r="DA172" s="42">
        <f>IF(CZ172&lt;0,0,IF(CZ172="无数据/数据缺失",0,IF('基本数据输入&amp;测算结果'!$C$20*CY172&gt;CZ172,CZ172/'基本数据输入&amp;测算结果'!$C$20*CY172,CY172)))</f>
        <v>0</v>
      </c>
      <c r="DB172" s="49">
        <f t="shared" si="9"/>
        <v>0</v>
      </c>
      <c r="DC172" s="50"/>
      <c r="DD172" s="50"/>
    </row>
    <row r="173" customHeight="1" spans="1:108">
      <c r="A173" s="52" t="s">
        <v>227</v>
      </c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51"/>
      <c r="AQ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  <c r="BB173" s="51"/>
      <c r="BC173" s="51"/>
      <c r="BD173" s="51"/>
      <c r="BE173" s="51"/>
      <c r="BF173" s="51"/>
      <c r="BG173" s="51"/>
      <c r="BH173" s="51"/>
      <c r="BI173" s="51"/>
      <c r="BJ173" s="51"/>
      <c r="BK173" s="51"/>
      <c r="BL173" s="51"/>
      <c r="BM173" s="51"/>
      <c r="BN173" s="51"/>
      <c r="BO173" s="51"/>
      <c r="BP173" s="51"/>
      <c r="BQ173" s="51"/>
      <c r="BR173" s="51"/>
      <c r="BS173" s="51"/>
      <c r="BT173" s="51"/>
      <c r="BU173" s="51"/>
      <c r="BV173" s="51"/>
      <c r="BW173" s="51"/>
      <c r="BX173" s="51"/>
      <c r="BY173" s="51"/>
      <c r="BZ173" s="51"/>
      <c r="CA173" s="51"/>
      <c r="CB173" s="51"/>
      <c r="CC173" s="51"/>
      <c r="CD173" s="51"/>
      <c r="CE173" s="51"/>
      <c r="CF173" s="51"/>
      <c r="CG173" s="51"/>
      <c r="CH173" s="51"/>
      <c r="CI173" s="51"/>
      <c r="CJ173" s="51"/>
      <c r="CK173" s="51"/>
      <c r="CL173" s="51"/>
      <c r="CM173" s="51"/>
      <c r="CN173" s="51"/>
      <c r="CO173" s="51"/>
      <c r="CP173" s="51"/>
      <c r="CQ173" s="51"/>
      <c r="CR173" s="51"/>
      <c r="CS173" s="51"/>
      <c r="CT173" s="42" t="str">
        <f>IFERROR(('基本数据输入&amp;测算结果'!$C$19*7-AVERAGE(B173:Y173,CP173:CS173)*7-'基本数据输入&amp;测算结果'!$C$23*7)/'基本数据输入&amp;测算结果'!$C$21*'基本数据输入&amp;测算结果'!$C$22,"无数据/数据缺失")</f>
        <v>无数据/数据缺失</v>
      </c>
      <c r="CU173" s="42">
        <f>IF(CT173&lt;0,0,IF(CT173="无数据/数据缺失",0%,IF(CT173&gt;'基本数据输入&amp;测算结果'!$C$20,100%,CT173/'基本数据输入&amp;测算结果'!$C$20)))</f>
        <v>0</v>
      </c>
      <c r="CV173" s="42" t="str">
        <f>IFERROR((AVERAGE(Z173:AG173)*2-'基本数据输入&amp;测算结果'!$C$24*2)/'基本数据输入&amp;测算结果'!$C$21/'基本数据输入&amp;测算结果'!$C$22,"无数据/数据缺失")</f>
        <v>无数据/数据缺失</v>
      </c>
      <c r="CW173" s="42">
        <f>IF(CV173&lt;0,0,IF(CV173="无数据/数据缺失",0%,IF(CV173&gt;'基本数据输入&amp;测算结果'!$C$20*CU173,CU173,CV173/'基本数据输入&amp;测算结果'!$C$20*CU173)))</f>
        <v>0</v>
      </c>
      <c r="CX173" s="42" t="str">
        <f>IFERROR(('基本数据输入&amp;测算结果'!$C$19*3-AVERAGE(AT173:BE173)*3-'基本数据输入&amp;测算结果'!$C$23*3)/'基本数据输入&amp;测算结果'!$C$21*'基本数据输入&amp;测算结果'!$C$22,"无数据/数据缺失")</f>
        <v>无数据/数据缺失</v>
      </c>
      <c r="CY173" s="42">
        <f>IF(CX173&lt;0,0,IF(CX173="无数据/数据缺失",0%,IF(CX173&gt;'基本数据输入&amp;测算结果'!$C$20,100%,CX173/'基本数据输入&amp;测算结果'!$C$20)))</f>
        <v>0</v>
      </c>
      <c r="CZ173" s="42" t="str">
        <f>IFERROR((AVERAGE(BN173:CK173)*6-'基本数据输入&amp;测算结果'!$C$24*6)/'基本数据输入&amp;测算结果'!$C$21/'基本数据输入&amp;测算结果'!$C$22,"无数据/数据缺失")</f>
        <v>无数据/数据缺失</v>
      </c>
      <c r="DA173" s="42">
        <f>IF(CZ173&lt;0,0,IF(CZ173="无数据/数据缺失",0,IF('基本数据输入&amp;测算结果'!$C$20*CY173&gt;CZ173,CZ173/'基本数据输入&amp;测算结果'!$C$20*CY173,CY173)))</f>
        <v>0</v>
      </c>
      <c r="DB173" s="49">
        <f t="shared" si="9"/>
        <v>0</v>
      </c>
      <c r="DC173" s="50"/>
      <c r="DD173" s="50"/>
    </row>
    <row r="174" customHeight="1" spans="1:108">
      <c r="A174" s="52" t="s">
        <v>228</v>
      </c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51"/>
      <c r="AQ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51"/>
      <c r="BC174" s="51"/>
      <c r="BD174" s="51"/>
      <c r="BE174" s="51"/>
      <c r="BF174" s="51"/>
      <c r="BG174" s="51"/>
      <c r="BH174" s="51"/>
      <c r="BI174" s="51"/>
      <c r="BJ174" s="51"/>
      <c r="BK174" s="51"/>
      <c r="BL174" s="51"/>
      <c r="BM174" s="51"/>
      <c r="BN174" s="51"/>
      <c r="BO174" s="51"/>
      <c r="BP174" s="51"/>
      <c r="BQ174" s="51"/>
      <c r="BR174" s="51"/>
      <c r="BS174" s="51"/>
      <c r="BT174" s="51"/>
      <c r="BU174" s="51"/>
      <c r="BV174" s="51"/>
      <c r="BW174" s="51"/>
      <c r="BX174" s="51"/>
      <c r="BY174" s="51"/>
      <c r="BZ174" s="51"/>
      <c r="CA174" s="51"/>
      <c r="CB174" s="51"/>
      <c r="CC174" s="51"/>
      <c r="CD174" s="51"/>
      <c r="CE174" s="51"/>
      <c r="CF174" s="51"/>
      <c r="CG174" s="51"/>
      <c r="CH174" s="51"/>
      <c r="CI174" s="51"/>
      <c r="CJ174" s="51"/>
      <c r="CK174" s="51"/>
      <c r="CL174" s="51"/>
      <c r="CM174" s="51"/>
      <c r="CN174" s="51"/>
      <c r="CO174" s="51"/>
      <c r="CP174" s="51"/>
      <c r="CQ174" s="51"/>
      <c r="CR174" s="51"/>
      <c r="CS174" s="51"/>
      <c r="CT174" s="42" t="str">
        <f>IFERROR(('基本数据输入&amp;测算结果'!$C$19*7-AVERAGE(B174:Y174,CP174:CS174)*7-'基本数据输入&amp;测算结果'!$C$23*7)/'基本数据输入&amp;测算结果'!$C$21*'基本数据输入&amp;测算结果'!$C$22,"无数据/数据缺失")</f>
        <v>无数据/数据缺失</v>
      </c>
      <c r="CU174" s="42">
        <f>IF(CT174&lt;0,0,IF(CT174="无数据/数据缺失",0%,IF(CT174&gt;'基本数据输入&amp;测算结果'!$C$20,100%,CT174/'基本数据输入&amp;测算结果'!$C$20)))</f>
        <v>0</v>
      </c>
      <c r="CV174" s="42" t="str">
        <f>IFERROR((AVERAGE(Z174:AG174)*2-'基本数据输入&amp;测算结果'!$C$24*2)/'基本数据输入&amp;测算结果'!$C$21/'基本数据输入&amp;测算结果'!$C$22,"无数据/数据缺失")</f>
        <v>无数据/数据缺失</v>
      </c>
      <c r="CW174" s="42">
        <f>IF(CV174&lt;0,0,IF(CV174="无数据/数据缺失",0%,IF(CV174&gt;'基本数据输入&amp;测算结果'!$C$20*CU174,CU174,CV174/'基本数据输入&amp;测算结果'!$C$20*CU174)))</f>
        <v>0</v>
      </c>
      <c r="CX174" s="42" t="str">
        <f>IFERROR(('基本数据输入&amp;测算结果'!$C$19*3-AVERAGE(AT174:BE174)*3-'基本数据输入&amp;测算结果'!$C$23*3)/'基本数据输入&amp;测算结果'!$C$21*'基本数据输入&amp;测算结果'!$C$22,"无数据/数据缺失")</f>
        <v>无数据/数据缺失</v>
      </c>
      <c r="CY174" s="42">
        <f>IF(CX174&lt;0,0,IF(CX174="无数据/数据缺失",0%,IF(CX174&gt;'基本数据输入&amp;测算结果'!$C$20,100%,CX174/'基本数据输入&amp;测算结果'!$C$20)))</f>
        <v>0</v>
      </c>
      <c r="CZ174" s="42" t="str">
        <f>IFERROR((AVERAGE(BN174:CK174)*6-'基本数据输入&amp;测算结果'!$C$24*6)/'基本数据输入&amp;测算结果'!$C$21/'基本数据输入&amp;测算结果'!$C$22,"无数据/数据缺失")</f>
        <v>无数据/数据缺失</v>
      </c>
      <c r="DA174" s="42">
        <f>IF(CZ174&lt;0,0,IF(CZ174="无数据/数据缺失",0,IF('基本数据输入&amp;测算结果'!$C$20*CY174&gt;CZ174,CZ174/'基本数据输入&amp;测算结果'!$C$20*CY174,CY174)))</f>
        <v>0</v>
      </c>
      <c r="DB174" s="49">
        <f t="shared" si="9"/>
        <v>0</v>
      </c>
      <c r="DC174" s="50"/>
      <c r="DD174" s="50"/>
    </row>
    <row r="175" customHeight="1" spans="1:108">
      <c r="A175" s="52" t="s">
        <v>229</v>
      </c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51"/>
      <c r="AQ175" s="51"/>
      <c r="AR175" s="51"/>
      <c r="AS175" s="51"/>
      <c r="AT175" s="51"/>
      <c r="AU175" s="51"/>
      <c r="AV175" s="51"/>
      <c r="AW175" s="51"/>
      <c r="AX175" s="51"/>
      <c r="AY175" s="51"/>
      <c r="AZ175" s="51"/>
      <c r="BA175" s="51"/>
      <c r="BB175" s="51"/>
      <c r="BC175" s="51"/>
      <c r="BD175" s="51"/>
      <c r="BE175" s="51"/>
      <c r="BF175" s="51"/>
      <c r="BG175" s="51"/>
      <c r="BH175" s="51"/>
      <c r="BI175" s="51"/>
      <c r="BJ175" s="51"/>
      <c r="BK175" s="51"/>
      <c r="BL175" s="51"/>
      <c r="BM175" s="51"/>
      <c r="BN175" s="51"/>
      <c r="BO175" s="51"/>
      <c r="BP175" s="51"/>
      <c r="BQ175" s="51"/>
      <c r="BR175" s="51"/>
      <c r="BS175" s="51"/>
      <c r="BT175" s="51"/>
      <c r="BU175" s="51"/>
      <c r="BV175" s="51"/>
      <c r="BW175" s="51"/>
      <c r="BX175" s="51"/>
      <c r="BY175" s="51"/>
      <c r="BZ175" s="51"/>
      <c r="CA175" s="51"/>
      <c r="CB175" s="51"/>
      <c r="CC175" s="51"/>
      <c r="CD175" s="51"/>
      <c r="CE175" s="51"/>
      <c r="CF175" s="51"/>
      <c r="CG175" s="51"/>
      <c r="CH175" s="51"/>
      <c r="CI175" s="51"/>
      <c r="CJ175" s="51"/>
      <c r="CK175" s="51"/>
      <c r="CL175" s="51"/>
      <c r="CM175" s="51"/>
      <c r="CN175" s="51"/>
      <c r="CO175" s="51"/>
      <c r="CP175" s="51"/>
      <c r="CQ175" s="51"/>
      <c r="CR175" s="51"/>
      <c r="CS175" s="51"/>
      <c r="CT175" s="42" t="str">
        <f>IFERROR(('基本数据输入&amp;测算结果'!$C$19*7-AVERAGE(B175:Y175,CP175:CS175)*7-'基本数据输入&amp;测算结果'!$C$23*7)/'基本数据输入&amp;测算结果'!$C$21*'基本数据输入&amp;测算结果'!$C$22,"无数据/数据缺失")</f>
        <v>无数据/数据缺失</v>
      </c>
      <c r="CU175" s="42">
        <f>IF(CT175&lt;0,0,IF(CT175="无数据/数据缺失",0%,IF(CT175&gt;'基本数据输入&amp;测算结果'!$C$20,100%,CT175/'基本数据输入&amp;测算结果'!$C$20)))</f>
        <v>0</v>
      </c>
      <c r="CV175" s="42" t="str">
        <f>IFERROR((AVERAGE(Z175:AG175)*2-'基本数据输入&amp;测算结果'!$C$24*2)/'基本数据输入&amp;测算结果'!$C$21/'基本数据输入&amp;测算结果'!$C$22,"无数据/数据缺失")</f>
        <v>无数据/数据缺失</v>
      </c>
      <c r="CW175" s="42">
        <f>IF(CV175&lt;0,0,IF(CV175="无数据/数据缺失",0%,IF(CV175&gt;'基本数据输入&amp;测算结果'!$C$20*CU175,CU175,CV175/'基本数据输入&amp;测算结果'!$C$20*CU175)))</f>
        <v>0</v>
      </c>
      <c r="CX175" s="42" t="str">
        <f>IFERROR(('基本数据输入&amp;测算结果'!$C$19*3-AVERAGE(AT175:BE175)*3-'基本数据输入&amp;测算结果'!$C$23*3)/'基本数据输入&amp;测算结果'!$C$21*'基本数据输入&amp;测算结果'!$C$22,"无数据/数据缺失")</f>
        <v>无数据/数据缺失</v>
      </c>
      <c r="CY175" s="42">
        <f>IF(CX175&lt;0,0,IF(CX175="无数据/数据缺失",0%,IF(CX175&gt;'基本数据输入&amp;测算结果'!$C$20,100%,CX175/'基本数据输入&amp;测算结果'!$C$20)))</f>
        <v>0</v>
      </c>
      <c r="CZ175" s="42" t="str">
        <f>IFERROR((AVERAGE(BN175:CK175)*6-'基本数据输入&amp;测算结果'!$C$24*6)/'基本数据输入&amp;测算结果'!$C$21/'基本数据输入&amp;测算结果'!$C$22,"无数据/数据缺失")</f>
        <v>无数据/数据缺失</v>
      </c>
      <c r="DA175" s="42">
        <f>IF(CZ175&lt;0,0,IF(CZ175="无数据/数据缺失",0,IF('基本数据输入&amp;测算结果'!$C$20*CY175&gt;CZ175,CZ175/'基本数据输入&amp;测算结果'!$C$20*CY175,CY175)))</f>
        <v>0</v>
      </c>
      <c r="DB175" s="49">
        <f t="shared" si="9"/>
        <v>0</v>
      </c>
      <c r="DC175" s="50"/>
      <c r="DD175" s="50"/>
    </row>
    <row r="176" customHeight="1" spans="1:108">
      <c r="A176" s="52" t="s">
        <v>230</v>
      </c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51"/>
      <c r="AQ176" s="51"/>
      <c r="AR176" s="51"/>
      <c r="AS176" s="51"/>
      <c r="AT176" s="51"/>
      <c r="AU176" s="51"/>
      <c r="AV176" s="51"/>
      <c r="AW176" s="51"/>
      <c r="AX176" s="51"/>
      <c r="AY176" s="51"/>
      <c r="AZ176" s="51"/>
      <c r="BA176" s="51"/>
      <c r="BB176" s="51"/>
      <c r="BC176" s="51"/>
      <c r="BD176" s="51"/>
      <c r="BE176" s="51"/>
      <c r="BF176" s="51"/>
      <c r="BG176" s="51"/>
      <c r="BH176" s="51"/>
      <c r="BI176" s="51"/>
      <c r="BJ176" s="51"/>
      <c r="BK176" s="51"/>
      <c r="BL176" s="51"/>
      <c r="BM176" s="51"/>
      <c r="BN176" s="51"/>
      <c r="BO176" s="51"/>
      <c r="BP176" s="51"/>
      <c r="BQ176" s="51"/>
      <c r="BR176" s="51"/>
      <c r="BS176" s="51"/>
      <c r="BT176" s="51"/>
      <c r="BU176" s="51"/>
      <c r="BV176" s="51"/>
      <c r="BW176" s="51"/>
      <c r="BX176" s="51"/>
      <c r="BY176" s="51"/>
      <c r="BZ176" s="51"/>
      <c r="CA176" s="51"/>
      <c r="CB176" s="51"/>
      <c r="CC176" s="51"/>
      <c r="CD176" s="51"/>
      <c r="CE176" s="51"/>
      <c r="CF176" s="51"/>
      <c r="CG176" s="51"/>
      <c r="CH176" s="51"/>
      <c r="CI176" s="51"/>
      <c r="CJ176" s="51"/>
      <c r="CK176" s="51"/>
      <c r="CL176" s="51"/>
      <c r="CM176" s="51"/>
      <c r="CN176" s="51"/>
      <c r="CO176" s="51"/>
      <c r="CP176" s="51"/>
      <c r="CQ176" s="51"/>
      <c r="CR176" s="51"/>
      <c r="CS176" s="51"/>
      <c r="CT176" s="42" t="str">
        <f>IFERROR(('基本数据输入&amp;测算结果'!$C$19*7-AVERAGE(B176:Y176,CP176:CS176)*7-'基本数据输入&amp;测算结果'!$C$23*7)/'基本数据输入&amp;测算结果'!$C$21*'基本数据输入&amp;测算结果'!$C$22,"无数据/数据缺失")</f>
        <v>无数据/数据缺失</v>
      </c>
      <c r="CU176" s="42">
        <f>IF(CT176&lt;0,0,IF(CT176="无数据/数据缺失",0%,IF(CT176&gt;'基本数据输入&amp;测算结果'!$C$20,100%,CT176/'基本数据输入&amp;测算结果'!$C$20)))</f>
        <v>0</v>
      </c>
      <c r="CV176" s="42" t="str">
        <f>IFERROR((AVERAGE(Z176:AG176)*2-'基本数据输入&amp;测算结果'!$C$24*2)/'基本数据输入&amp;测算结果'!$C$21/'基本数据输入&amp;测算结果'!$C$22,"无数据/数据缺失")</f>
        <v>无数据/数据缺失</v>
      </c>
      <c r="CW176" s="42">
        <f>IF(CV176&lt;0,0,IF(CV176="无数据/数据缺失",0%,IF(CV176&gt;'基本数据输入&amp;测算结果'!$C$20*CU176,CU176,CV176/'基本数据输入&amp;测算结果'!$C$20*CU176)))</f>
        <v>0</v>
      </c>
      <c r="CX176" s="42" t="str">
        <f>IFERROR(('基本数据输入&amp;测算结果'!$C$19*3-AVERAGE(AT176:BE176)*3-'基本数据输入&amp;测算结果'!$C$23*3)/'基本数据输入&amp;测算结果'!$C$21*'基本数据输入&amp;测算结果'!$C$22,"无数据/数据缺失")</f>
        <v>无数据/数据缺失</v>
      </c>
      <c r="CY176" s="42">
        <f>IF(CX176&lt;0,0,IF(CX176="无数据/数据缺失",0%,IF(CX176&gt;'基本数据输入&amp;测算结果'!$C$20,100%,CX176/'基本数据输入&amp;测算结果'!$C$20)))</f>
        <v>0</v>
      </c>
      <c r="CZ176" s="42" t="str">
        <f>IFERROR((AVERAGE(BN176:CK176)*6-'基本数据输入&amp;测算结果'!$C$24*6)/'基本数据输入&amp;测算结果'!$C$21/'基本数据输入&amp;测算结果'!$C$22,"无数据/数据缺失")</f>
        <v>无数据/数据缺失</v>
      </c>
      <c r="DA176" s="42">
        <f>IF(CZ176&lt;0,0,IF(CZ176="无数据/数据缺失",0,IF('基本数据输入&amp;测算结果'!$C$20*CY176&gt;CZ176,CZ176/'基本数据输入&amp;测算结果'!$C$20*CY176,CY176)))</f>
        <v>0</v>
      </c>
      <c r="DB176" s="49">
        <f t="shared" si="9"/>
        <v>0</v>
      </c>
      <c r="DC176" s="50"/>
      <c r="DD176" s="50"/>
    </row>
    <row r="177" customHeight="1" spans="1:113">
      <c r="A177" s="52" t="s">
        <v>231</v>
      </c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51"/>
      <c r="AQ177" s="51"/>
      <c r="AR177" s="51"/>
      <c r="AS177" s="51"/>
      <c r="AT177" s="51"/>
      <c r="AU177" s="51"/>
      <c r="AV177" s="51"/>
      <c r="AW177" s="51"/>
      <c r="AX177" s="51"/>
      <c r="AY177" s="51"/>
      <c r="AZ177" s="51"/>
      <c r="BA177" s="51"/>
      <c r="BB177" s="51"/>
      <c r="BC177" s="51"/>
      <c r="BD177" s="51"/>
      <c r="BE177" s="51"/>
      <c r="BF177" s="51"/>
      <c r="BG177" s="51"/>
      <c r="BH177" s="51"/>
      <c r="BI177" s="51"/>
      <c r="BJ177" s="51"/>
      <c r="BK177" s="51"/>
      <c r="BL177" s="51"/>
      <c r="BM177" s="51"/>
      <c r="BN177" s="51"/>
      <c r="BO177" s="51"/>
      <c r="BP177" s="51"/>
      <c r="BQ177" s="51"/>
      <c r="BR177" s="51"/>
      <c r="BS177" s="51"/>
      <c r="BT177" s="51"/>
      <c r="BU177" s="51"/>
      <c r="BV177" s="51"/>
      <c r="BW177" s="51"/>
      <c r="BX177" s="51"/>
      <c r="BY177" s="51"/>
      <c r="BZ177" s="51"/>
      <c r="CA177" s="51"/>
      <c r="CB177" s="51"/>
      <c r="CC177" s="51"/>
      <c r="CD177" s="51"/>
      <c r="CE177" s="51"/>
      <c r="CF177" s="51"/>
      <c r="CG177" s="51"/>
      <c r="CH177" s="51"/>
      <c r="CI177" s="51"/>
      <c r="CJ177" s="51"/>
      <c r="CK177" s="51"/>
      <c r="CL177" s="51"/>
      <c r="CM177" s="51"/>
      <c r="CN177" s="51"/>
      <c r="CO177" s="51"/>
      <c r="CP177" s="51"/>
      <c r="CQ177" s="51"/>
      <c r="CR177" s="51"/>
      <c r="CS177" s="51"/>
      <c r="CT177" s="42" t="str">
        <f>IFERROR(('基本数据输入&amp;测算结果'!$C$19*7-AVERAGE(B177:Y177,CP177:CS177)*7-'基本数据输入&amp;测算结果'!$C$23*7)/'基本数据输入&amp;测算结果'!$C$21*'基本数据输入&amp;测算结果'!$C$22,"无数据/数据缺失")</f>
        <v>无数据/数据缺失</v>
      </c>
      <c r="CU177" s="42">
        <f>IF(CT177&lt;0,0,IF(CT177="无数据/数据缺失",0%,IF(CT177&gt;'基本数据输入&amp;测算结果'!$C$20,100%,CT177/'基本数据输入&amp;测算结果'!$C$20)))</f>
        <v>0</v>
      </c>
      <c r="CV177" s="42" t="str">
        <f>IFERROR((AVERAGE(Z177:AG177)*2-'基本数据输入&amp;测算结果'!$C$24*2)/'基本数据输入&amp;测算结果'!$C$21/'基本数据输入&amp;测算结果'!$C$22,"无数据/数据缺失")</f>
        <v>无数据/数据缺失</v>
      </c>
      <c r="CW177" s="42">
        <f>IF(CV177&lt;0,0,IF(CV177="无数据/数据缺失",0%,IF(CV177&gt;'基本数据输入&amp;测算结果'!$C$20*CU177,CU177,CV177/'基本数据输入&amp;测算结果'!$C$20*CU177)))</f>
        <v>0</v>
      </c>
      <c r="CX177" s="42" t="str">
        <f>IFERROR(('基本数据输入&amp;测算结果'!$C$19*3-AVERAGE(AT177:BE177)*3-'基本数据输入&amp;测算结果'!$C$23*3)/'基本数据输入&amp;测算结果'!$C$21*'基本数据输入&amp;测算结果'!$C$22,"无数据/数据缺失")</f>
        <v>无数据/数据缺失</v>
      </c>
      <c r="CY177" s="42">
        <f>IF(CX177&lt;0,0,IF(CX177="无数据/数据缺失",0%,IF(CX177&gt;'基本数据输入&amp;测算结果'!$C$20,100%,CX177/'基本数据输入&amp;测算结果'!$C$20)))</f>
        <v>0</v>
      </c>
      <c r="CZ177" s="42" t="str">
        <f>IFERROR((AVERAGE(BN177:CK177)*6-'基本数据输入&amp;测算结果'!$C$24*6)/'基本数据输入&amp;测算结果'!$C$21/'基本数据输入&amp;测算结果'!$C$22,"无数据/数据缺失")</f>
        <v>无数据/数据缺失</v>
      </c>
      <c r="DA177" s="42">
        <f>IF(CZ177&lt;0,0,IF(CZ177="无数据/数据缺失",0,IF('基本数据输入&amp;测算结果'!$C$20*CY177&gt;CZ177,CZ177/'基本数据输入&amp;测算结果'!$C$20*CY177,CY177)))</f>
        <v>0</v>
      </c>
      <c r="DB177" s="49">
        <f t="shared" si="9"/>
        <v>0</v>
      </c>
      <c r="DC177" s="50"/>
      <c r="DD177" s="50"/>
    </row>
    <row r="178" customHeight="1" spans="1:113">
      <c r="A178" s="52" t="s">
        <v>232</v>
      </c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51"/>
      <c r="AQ178" s="51"/>
      <c r="AR178" s="51"/>
      <c r="AS178" s="51"/>
      <c r="AT178" s="51"/>
      <c r="AU178" s="51"/>
      <c r="AV178" s="51"/>
      <c r="AW178" s="51"/>
      <c r="AX178" s="51"/>
      <c r="AY178" s="51"/>
      <c r="AZ178" s="51"/>
      <c r="BA178" s="51"/>
      <c r="BB178" s="51"/>
      <c r="BC178" s="51"/>
      <c r="BD178" s="51"/>
      <c r="BE178" s="51"/>
      <c r="BF178" s="51"/>
      <c r="BG178" s="51"/>
      <c r="BH178" s="51"/>
      <c r="BI178" s="51"/>
      <c r="BJ178" s="51"/>
      <c r="BK178" s="51"/>
      <c r="BL178" s="51"/>
      <c r="BM178" s="51"/>
      <c r="BN178" s="51"/>
      <c r="BO178" s="51"/>
      <c r="BP178" s="51"/>
      <c r="BQ178" s="51"/>
      <c r="BR178" s="51"/>
      <c r="BS178" s="51"/>
      <c r="BT178" s="51"/>
      <c r="BU178" s="51"/>
      <c r="BV178" s="51"/>
      <c r="BW178" s="51"/>
      <c r="BX178" s="51"/>
      <c r="BY178" s="51"/>
      <c r="BZ178" s="51"/>
      <c r="CA178" s="51"/>
      <c r="CB178" s="51"/>
      <c r="CC178" s="51"/>
      <c r="CD178" s="51"/>
      <c r="CE178" s="51"/>
      <c r="CF178" s="51"/>
      <c r="CG178" s="51"/>
      <c r="CH178" s="51"/>
      <c r="CI178" s="51"/>
      <c r="CJ178" s="51"/>
      <c r="CK178" s="51"/>
      <c r="CL178" s="51"/>
      <c r="CM178" s="51"/>
      <c r="CN178" s="51"/>
      <c r="CO178" s="51"/>
      <c r="CP178" s="51"/>
      <c r="CQ178" s="51"/>
      <c r="CR178" s="51"/>
      <c r="CS178" s="51"/>
      <c r="CT178" s="42" t="str">
        <f>IFERROR(('基本数据输入&amp;测算结果'!$C$19*7-AVERAGE(B178:Y178,CP178:CS178)*7-'基本数据输入&amp;测算结果'!$C$23*7)/'基本数据输入&amp;测算结果'!$C$21*'基本数据输入&amp;测算结果'!$C$22,"无数据/数据缺失")</f>
        <v>无数据/数据缺失</v>
      </c>
      <c r="CU178" s="42">
        <f>IF(CT178&lt;0,0,IF(CT178="无数据/数据缺失",0%,IF(CT178&gt;'基本数据输入&amp;测算结果'!$C$20,100%,CT178/'基本数据输入&amp;测算结果'!$C$20)))</f>
        <v>0</v>
      </c>
      <c r="CV178" s="42" t="str">
        <f>IFERROR((AVERAGE(Z178:AG178)*2-'基本数据输入&amp;测算结果'!$C$24*2)/'基本数据输入&amp;测算结果'!$C$21/'基本数据输入&amp;测算结果'!$C$22,"无数据/数据缺失")</f>
        <v>无数据/数据缺失</v>
      </c>
      <c r="CW178" s="42">
        <f>IF(CV178&lt;0,0,IF(CV178="无数据/数据缺失",0%,IF(CV178&gt;'基本数据输入&amp;测算结果'!$C$20*CU178,CU178,CV178/'基本数据输入&amp;测算结果'!$C$20*CU178)))</f>
        <v>0</v>
      </c>
      <c r="CX178" s="42" t="str">
        <f>IFERROR(('基本数据输入&amp;测算结果'!$C$19*3-AVERAGE(AT178:BE178)*3-'基本数据输入&amp;测算结果'!$C$23*3)/'基本数据输入&amp;测算结果'!$C$21*'基本数据输入&amp;测算结果'!$C$22,"无数据/数据缺失")</f>
        <v>无数据/数据缺失</v>
      </c>
      <c r="CY178" s="42">
        <f>IF(CX178&lt;0,0,IF(CX178="无数据/数据缺失",0%,IF(CX178&gt;'基本数据输入&amp;测算结果'!$C$20,100%,CX178/'基本数据输入&amp;测算结果'!$C$20)))</f>
        <v>0</v>
      </c>
      <c r="CZ178" s="42" t="str">
        <f>IFERROR((AVERAGE(BN178:CK178)*6-'基本数据输入&amp;测算结果'!$C$24*6)/'基本数据输入&amp;测算结果'!$C$21/'基本数据输入&amp;测算结果'!$C$22,"无数据/数据缺失")</f>
        <v>无数据/数据缺失</v>
      </c>
      <c r="DA178" s="42">
        <f>IF(CZ178&lt;0,0,IF(CZ178="无数据/数据缺失",0,IF('基本数据输入&amp;测算结果'!$C$20*CY178&gt;CZ178,CZ178/'基本数据输入&amp;测算结果'!$C$20*CY178,CY178)))</f>
        <v>0</v>
      </c>
      <c r="DB178" s="49">
        <f t="shared" si="9"/>
        <v>0</v>
      </c>
      <c r="DC178" s="50"/>
      <c r="DD178" s="50"/>
    </row>
    <row r="179" customHeight="1" spans="1:113">
      <c r="A179" s="52" t="s">
        <v>233</v>
      </c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51"/>
      <c r="AQ179" s="51"/>
      <c r="AR179" s="51"/>
      <c r="AS179" s="51"/>
      <c r="AT179" s="51"/>
      <c r="AU179" s="51"/>
      <c r="AV179" s="51"/>
      <c r="AW179" s="51"/>
      <c r="AX179" s="51"/>
      <c r="AY179" s="51"/>
      <c r="AZ179" s="51"/>
      <c r="BA179" s="51"/>
      <c r="BB179" s="51"/>
      <c r="BC179" s="51"/>
      <c r="BD179" s="51"/>
      <c r="BE179" s="51"/>
      <c r="BF179" s="51"/>
      <c r="BG179" s="51"/>
      <c r="BH179" s="51"/>
      <c r="BI179" s="51"/>
      <c r="BJ179" s="51"/>
      <c r="BK179" s="51"/>
      <c r="BL179" s="51"/>
      <c r="BM179" s="51"/>
      <c r="BN179" s="51"/>
      <c r="BO179" s="51"/>
      <c r="BP179" s="51"/>
      <c r="BQ179" s="51"/>
      <c r="BR179" s="51"/>
      <c r="BS179" s="51"/>
      <c r="BT179" s="51"/>
      <c r="BU179" s="51"/>
      <c r="BV179" s="51"/>
      <c r="BW179" s="51"/>
      <c r="BX179" s="51"/>
      <c r="BY179" s="51"/>
      <c r="BZ179" s="51"/>
      <c r="CA179" s="51"/>
      <c r="CB179" s="51"/>
      <c r="CC179" s="51"/>
      <c r="CD179" s="51"/>
      <c r="CE179" s="51"/>
      <c r="CF179" s="51"/>
      <c r="CG179" s="51"/>
      <c r="CH179" s="51"/>
      <c r="CI179" s="51"/>
      <c r="CJ179" s="51"/>
      <c r="CK179" s="51"/>
      <c r="CL179" s="51"/>
      <c r="CM179" s="51"/>
      <c r="CN179" s="51"/>
      <c r="CO179" s="51"/>
      <c r="CP179" s="51"/>
      <c r="CQ179" s="51"/>
      <c r="CR179" s="51"/>
      <c r="CS179" s="51"/>
      <c r="CT179" s="42" t="str">
        <f>IFERROR(('基本数据输入&amp;测算结果'!$C$19*7-AVERAGE(B179:Y179,CP179:CS179)*7-'基本数据输入&amp;测算结果'!$C$23*7)/'基本数据输入&amp;测算结果'!$C$21*'基本数据输入&amp;测算结果'!$C$22,"无数据/数据缺失")</f>
        <v>无数据/数据缺失</v>
      </c>
      <c r="CU179" s="42">
        <f>IF(CT179&lt;0,0,IF(CT179="无数据/数据缺失",0%,IF(CT179&gt;'基本数据输入&amp;测算结果'!$C$20,100%,CT179/'基本数据输入&amp;测算结果'!$C$20)))</f>
        <v>0</v>
      </c>
      <c r="CV179" s="42" t="str">
        <f>IFERROR((AVERAGE(Z179:AG179)*2-'基本数据输入&amp;测算结果'!$C$24*2)/'基本数据输入&amp;测算结果'!$C$21/'基本数据输入&amp;测算结果'!$C$22,"无数据/数据缺失")</f>
        <v>无数据/数据缺失</v>
      </c>
      <c r="CW179" s="42">
        <f>IF(CV179&lt;0,0,IF(CV179="无数据/数据缺失",0%,IF(CV179&gt;'基本数据输入&amp;测算结果'!$C$20*CU179,CU179,CV179/'基本数据输入&amp;测算结果'!$C$20*CU179)))</f>
        <v>0</v>
      </c>
      <c r="CX179" s="42" t="str">
        <f>IFERROR(('基本数据输入&amp;测算结果'!$C$19*3-AVERAGE(AT179:BE179)*3-'基本数据输入&amp;测算结果'!$C$23*3)/'基本数据输入&amp;测算结果'!$C$21*'基本数据输入&amp;测算结果'!$C$22,"无数据/数据缺失")</f>
        <v>无数据/数据缺失</v>
      </c>
      <c r="CY179" s="42">
        <f>IF(CX179&lt;0,0,IF(CX179="无数据/数据缺失",0%,IF(CX179&gt;'基本数据输入&amp;测算结果'!$C$20,100%,CX179/'基本数据输入&amp;测算结果'!$C$20)))</f>
        <v>0</v>
      </c>
      <c r="CZ179" s="42" t="str">
        <f>IFERROR((AVERAGE(BN179:CK179)*6-'基本数据输入&amp;测算结果'!$C$24*6)/'基本数据输入&amp;测算结果'!$C$21/'基本数据输入&amp;测算结果'!$C$22,"无数据/数据缺失")</f>
        <v>无数据/数据缺失</v>
      </c>
      <c r="DA179" s="42">
        <f>IF(CZ179&lt;0,0,IF(CZ179="无数据/数据缺失",0,IF('基本数据输入&amp;测算结果'!$C$20*CY179&gt;CZ179,CZ179/'基本数据输入&amp;测算结果'!$C$20*CY179,CY179)))</f>
        <v>0</v>
      </c>
      <c r="DB179" s="49">
        <f t="shared" si="9"/>
        <v>0</v>
      </c>
      <c r="DC179" s="50"/>
      <c r="DD179" s="50"/>
    </row>
    <row r="180" customHeight="1" spans="1:113">
      <c r="A180" s="52" t="s">
        <v>234</v>
      </c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51"/>
      <c r="AQ180" s="51"/>
      <c r="AR180" s="51"/>
      <c r="AS180" s="51"/>
      <c r="AT180" s="51"/>
      <c r="AU180" s="51"/>
      <c r="AV180" s="51"/>
      <c r="AW180" s="51"/>
      <c r="AX180" s="51"/>
      <c r="AY180" s="51"/>
      <c r="AZ180" s="51"/>
      <c r="BA180" s="51"/>
      <c r="BB180" s="51"/>
      <c r="BC180" s="51"/>
      <c r="BD180" s="51"/>
      <c r="BE180" s="51"/>
      <c r="BF180" s="51"/>
      <c r="BG180" s="51"/>
      <c r="BH180" s="51"/>
      <c r="BI180" s="51"/>
      <c r="BJ180" s="51"/>
      <c r="BK180" s="51"/>
      <c r="BL180" s="51"/>
      <c r="BM180" s="51"/>
      <c r="BN180" s="51"/>
      <c r="BO180" s="51"/>
      <c r="BP180" s="51"/>
      <c r="BQ180" s="51"/>
      <c r="BR180" s="51"/>
      <c r="BS180" s="51"/>
      <c r="BT180" s="51"/>
      <c r="BU180" s="51"/>
      <c r="BV180" s="51"/>
      <c r="BW180" s="51"/>
      <c r="BX180" s="51"/>
      <c r="BY180" s="51"/>
      <c r="BZ180" s="51"/>
      <c r="CA180" s="51"/>
      <c r="CB180" s="51"/>
      <c r="CC180" s="51"/>
      <c r="CD180" s="51"/>
      <c r="CE180" s="51"/>
      <c r="CF180" s="51"/>
      <c r="CG180" s="51"/>
      <c r="CH180" s="51"/>
      <c r="CI180" s="51"/>
      <c r="CJ180" s="51"/>
      <c r="CK180" s="51"/>
      <c r="CL180" s="51"/>
      <c r="CM180" s="51"/>
      <c r="CN180" s="51"/>
      <c r="CO180" s="51"/>
      <c r="CP180" s="51"/>
      <c r="CQ180" s="51"/>
      <c r="CR180" s="51"/>
      <c r="CS180" s="51"/>
      <c r="CT180" s="42" t="str">
        <f>IFERROR(('基本数据输入&amp;测算结果'!$C$19*7-AVERAGE(B180:Y180,CP180:CS180)*7-'基本数据输入&amp;测算结果'!$C$23*7)/'基本数据输入&amp;测算结果'!$C$21*'基本数据输入&amp;测算结果'!$C$22,"无数据/数据缺失")</f>
        <v>无数据/数据缺失</v>
      </c>
      <c r="CU180" s="42">
        <f>IF(CT180&lt;0,0,IF(CT180="无数据/数据缺失",0%,IF(CT180&gt;'基本数据输入&amp;测算结果'!$C$20,100%,CT180/'基本数据输入&amp;测算结果'!$C$20)))</f>
        <v>0</v>
      </c>
      <c r="CV180" s="42" t="str">
        <f>IFERROR((AVERAGE(Z180:AG180)*2-'基本数据输入&amp;测算结果'!$C$24*2)/'基本数据输入&amp;测算结果'!$C$21/'基本数据输入&amp;测算结果'!$C$22,"无数据/数据缺失")</f>
        <v>无数据/数据缺失</v>
      </c>
      <c r="CW180" s="42">
        <f>IF(CV180&lt;0,0,IF(CV180="无数据/数据缺失",0%,IF(CV180&gt;'基本数据输入&amp;测算结果'!$C$20*CU180,CU180,CV180/'基本数据输入&amp;测算结果'!$C$20*CU180)))</f>
        <v>0</v>
      </c>
      <c r="CX180" s="42" t="str">
        <f>IFERROR(('基本数据输入&amp;测算结果'!$C$19*3-AVERAGE(AT180:BE180)*3-'基本数据输入&amp;测算结果'!$C$23*3)/'基本数据输入&amp;测算结果'!$C$21*'基本数据输入&amp;测算结果'!$C$22,"无数据/数据缺失")</f>
        <v>无数据/数据缺失</v>
      </c>
      <c r="CY180" s="42">
        <f>IF(CX180&lt;0,0,IF(CX180="无数据/数据缺失",0%,IF(CX180&gt;'基本数据输入&amp;测算结果'!$C$20,100%,CX180/'基本数据输入&amp;测算结果'!$C$20)))</f>
        <v>0</v>
      </c>
      <c r="CZ180" s="42" t="str">
        <f>IFERROR((AVERAGE(BN180:CK180)*6-'基本数据输入&amp;测算结果'!$C$24*6)/'基本数据输入&amp;测算结果'!$C$21/'基本数据输入&amp;测算结果'!$C$22,"无数据/数据缺失")</f>
        <v>无数据/数据缺失</v>
      </c>
      <c r="DA180" s="42">
        <f>IF(CZ180&lt;0,0,IF(CZ180="无数据/数据缺失",0,IF('基本数据输入&amp;测算结果'!$C$20*CY180&gt;CZ180,CZ180/'基本数据输入&amp;测算结果'!$C$20*CY180,CY180)))</f>
        <v>0</v>
      </c>
      <c r="DB180" s="49">
        <f t="shared" si="9"/>
        <v>0</v>
      </c>
      <c r="DC180" s="50"/>
      <c r="DD180" s="50"/>
    </row>
    <row r="181" customHeight="1" spans="1:113">
      <c r="A181" s="52" t="s">
        <v>235</v>
      </c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51"/>
      <c r="AQ181" s="51"/>
      <c r="AR181" s="51"/>
      <c r="AS181" s="51"/>
      <c r="AT181" s="51"/>
      <c r="AU181" s="51"/>
      <c r="AV181" s="51"/>
      <c r="AW181" s="51"/>
      <c r="AX181" s="51"/>
      <c r="AY181" s="51"/>
      <c r="AZ181" s="51"/>
      <c r="BA181" s="51"/>
      <c r="BB181" s="51"/>
      <c r="BC181" s="51"/>
      <c r="BD181" s="51"/>
      <c r="BE181" s="51"/>
      <c r="BF181" s="51"/>
      <c r="BG181" s="51"/>
      <c r="BH181" s="51"/>
      <c r="BI181" s="51"/>
      <c r="BJ181" s="51"/>
      <c r="BK181" s="51"/>
      <c r="BL181" s="51"/>
      <c r="BM181" s="51"/>
      <c r="BN181" s="51"/>
      <c r="BO181" s="51"/>
      <c r="BP181" s="51"/>
      <c r="BQ181" s="51"/>
      <c r="BR181" s="51"/>
      <c r="BS181" s="51"/>
      <c r="BT181" s="51"/>
      <c r="BU181" s="51"/>
      <c r="BV181" s="51"/>
      <c r="BW181" s="51"/>
      <c r="BX181" s="51"/>
      <c r="BY181" s="51"/>
      <c r="BZ181" s="51"/>
      <c r="CA181" s="51"/>
      <c r="CB181" s="51"/>
      <c r="CC181" s="51"/>
      <c r="CD181" s="51"/>
      <c r="CE181" s="51"/>
      <c r="CF181" s="51"/>
      <c r="CG181" s="51"/>
      <c r="CH181" s="51"/>
      <c r="CI181" s="51"/>
      <c r="CJ181" s="51"/>
      <c r="CK181" s="51"/>
      <c r="CL181" s="51"/>
      <c r="CM181" s="51"/>
      <c r="CN181" s="51"/>
      <c r="CO181" s="51"/>
      <c r="CP181" s="51"/>
      <c r="CQ181" s="51"/>
      <c r="CR181" s="51"/>
      <c r="CS181" s="51"/>
      <c r="CT181" s="42" t="str">
        <f>IFERROR(('基本数据输入&amp;测算结果'!$C$19*7-AVERAGE(B181:Y181,CP181:CS181)*7-'基本数据输入&amp;测算结果'!$C$23*7)/'基本数据输入&amp;测算结果'!$C$21*'基本数据输入&amp;测算结果'!$C$22,"无数据/数据缺失")</f>
        <v>无数据/数据缺失</v>
      </c>
      <c r="CU181" s="42">
        <f>IF(CT181&lt;0,0,IF(CT181="无数据/数据缺失",0%,IF(CT181&gt;'基本数据输入&amp;测算结果'!$C$20,100%,CT181/'基本数据输入&amp;测算结果'!$C$20)))</f>
        <v>0</v>
      </c>
      <c r="CV181" s="42" t="str">
        <f>IFERROR((AVERAGE(Z181:AG181)*2-'基本数据输入&amp;测算结果'!$C$24*2)/'基本数据输入&amp;测算结果'!$C$21/'基本数据输入&amp;测算结果'!$C$22,"无数据/数据缺失")</f>
        <v>无数据/数据缺失</v>
      </c>
      <c r="CW181" s="42">
        <f>IF(CV181&lt;0,0,IF(CV181="无数据/数据缺失",0%,IF(CV181&gt;'基本数据输入&amp;测算结果'!$C$20*CU181,CU181,CV181/'基本数据输入&amp;测算结果'!$C$20*CU181)))</f>
        <v>0</v>
      </c>
      <c r="CX181" s="42" t="str">
        <f>IFERROR(('基本数据输入&amp;测算结果'!$C$19*3-AVERAGE(AT181:BE181)*3-'基本数据输入&amp;测算结果'!$C$23*3)/'基本数据输入&amp;测算结果'!$C$21*'基本数据输入&amp;测算结果'!$C$22,"无数据/数据缺失")</f>
        <v>无数据/数据缺失</v>
      </c>
      <c r="CY181" s="42">
        <f>IF(CX181&lt;0,0,IF(CX181="无数据/数据缺失",0%,IF(CX181&gt;'基本数据输入&amp;测算结果'!$C$20,100%,CX181/'基本数据输入&amp;测算结果'!$C$20)))</f>
        <v>0</v>
      </c>
      <c r="CZ181" s="42" t="str">
        <f>IFERROR((AVERAGE(BN181:CK181)*6-'基本数据输入&amp;测算结果'!$C$24*6)/'基本数据输入&amp;测算结果'!$C$21/'基本数据输入&amp;测算结果'!$C$22,"无数据/数据缺失")</f>
        <v>无数据/数据缺失</v>
      </c>
      <c r="DA181" s="42">
        <f>IF(CZ181&lt;0,0,IF(CZ181="无数据/数据缺失",0,IF('基本数据输入&amp;测算结果'!$C$20*CY181&gt;CZ181,CZ181/'基本数据输入&amp;测算结果'!$C$20*CY181,CY181)))</f>
        <v>0</v>
      </c>
      <c r="DB181" s="49">
        <f t="shared" si="9"/>
        <v>0</v>
      </c>
      <c r="DC181" s="50"/>
      <c r="DD181" s="50"/>
    </row>
    <row r="182" s="42" customFormat="1" customHeight="1" spans="1:113">
      <c r="A182" s="52" t="s">
        <v>236</v>
      </c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51"/>
      <c r="AQ182" s="51"/>
      <c r="AR182" s="51"/>
      <c r="AS182" s="51"/>
      <c r="AT182" s="51"/>
      <c r="AU182" s="51"/>
      <c r="AV182" s="51"/>
      <c r="AW182" s="51"/>
      <c r="AX182" s="51"/>
      <c r="AY182" s="51"/>
      <c r="AZ182" s="51"/>
      <c r="BA182" s="51"/>
      <c r="BB182" s="51"/>
      <c r="BC182" s="51"/>
      <c r="BD182" s="51"/>
      <c r="BE182" s="51"/>
      <c r="BF182" s="51"/>
      <c r="BG182" s="51"/>
      <c r="BH182" s="51"/>
      <c r="BI182" s="51"/>
      <c r="BJ182" s="51"/>
      <c r="BK182" s="51"/>
      <c r="BL182" s="51"/>
      <c r="BM182" s="51"/>
      <c r="BN182" s="51"/>
      <c r="BO182" s="51"/>
      <c r="BP182" s="51"/>
      <c r="BQ182" s="51"/>
      <c r="BR182" s="51"/>
      <c r="BS182" s="51"/>
      <c r="BT182" s="51"/>
      <c r="BU182" s="51"/>
      <c r="BV182" s="51"/>
      <c r="BW182" s="51"/>
      <c r="BX182" s="51"/>
      <c r="BY182" s="51"/>
      <c r="BZ182" s="51"/>
      <c r="CA182" s="51"/>
      <c r="CB182" s="51"/>
      <c r="CC182" s="51"/>
      <c r="CD182" s="51"/>
      <c r="CE182" s="51"/>
      <c r="CF182" s="51"/>
      <c r="CG182" s="51"/>
      <c r="CH182" s="51"/>
      <c r="CI182" s="51"/>
      <c r="CJ182" s="51"/>
      <c r="CK182" s="51"/>
      <c r="CL182" s="51"/>
      <c r="CM182" s="51"/>
      <c r="CN182" s="51"/>
      <c r="CO182" s="51"/>
      <c r="CP182" s="51"/>
      <c r="CQ182" s="51"/>
      <c r="CR182" s="51"/>
      <c r="CS182" s="51"/>
      <c r="CT182" s="42" t="str">
        <f>IFERROR(('基本数据输入&amp;测算结果'!$C$19*7-AVERAGE(B182:Y182,CP182:CS182)*7-'基本数据输入&amp;测算结果'!$C$23*7)/'基本数据输入&amp;测算结果'!$C$21*'基本数据输入&amp;测算结果'!$C$22,"无数据/数据缺失")</f>
        <v>无数据/数据缺失</v>
      </c>
      <c r="CU182" s="42">
        <f>IF(CT182&lt;0,0,IF(CT182="无数据/数据缺失",0%,IF(CT182&gt;'基本数据输入&amp;测算结果'!$C$20,100%,CT182/'基本数据输入&amp;测算结果'!$C$20)))</f>
        <v>0</v>
      </c>
      <c r="CV182" s="42" t="str">
        <f>IFERROR((AVERAGE(Z182:AG182)*2-'基本数据输入&amp;测算结果'!$C$24*2)/'基本数据输入&amp;测算结果'!$C$21/'基本数据输入&amp;测算结果'!$C$22,"无数据/数据缺失")</f>
        <v>无数据/数据缺失</v>
      </c>
      <c r="CW182" s="42">
        <f>IF(CV182&lt;0,0,IF(CV182="无数据/数据缺失",0%,IF(CV182&gt;'基本数据输入&amp;测算结果'!$C$20*CU182,CU182,CV182/'基本数据输入&amp;测算结果'!$C$20*CU182)))</f>
        <v>0</v>
      </c>
      <c r="CX182" s="42" t="str">
        <f>IFERROR(('基本数据输入&amp;测算结果'!$C$19*3-AVERAGE(AT182:BE182)*3-'基本数据输入&amp;测算结果'!$C$23*3)/'基本数据输入&amp;测算结果'!$C$21*'基本数据输入&amp;测算结果'!$C$22,"无数据/数据缺失")</f>
        <v>无数据/数据缺失</v>
      </c>
      <c r="CY182" s="42">
        <f>IF(CX182&lt;0,0,IF(CX182="无数据/数据缺失",0%,IF(CX182&gt;'基本数据输入&amp;测算结果'!$C$20,100%,CX182/'基本数据输入&amp;测算结果'!$C$20)))</f>
        <v>0</v>
      </c>
      <c r="CZ182" s="42" t="str">
        <f>IFERROR((AVERAGE(BN182:CK182)*6-'基本数据输入&amp;测算结果'!$C$24*6)/'基本数据输入&amp;测算结果'!$C$21/'基本数据输入&amp;测算结果'!$C$22,"无数据/数据缺失")</f>
        <v>无数据/数据缺失</v>
      </c>
      <c r="DA182" s="42">
        <f>IF(CZ182&lt;0,0,IF(CZ182="无数据/数据缺失",0,IF('基本数据输入&amp;测算结果'!$C$20*CY182&gt;CZ182,CZ182/'基本数据输入&amp;测算结果'!$C$20*CY182,CY182)))</f>
        <v>0</v>
      </c>
      <c r="DB182" s="49">
        <f t="shared" si="9"/>
        <v>0</v>
      </c>
      <c r="DC182" s="50"/>
      <c r="DD182" s="50"/>
      <c r="DE182" s="53"/>
      <c r="DF182" s="53"/>
      <c r="DG182" s="53"/>
      <c r="DH182" s="53"/>
      <c r="DI182" s="53"/>
    </row>
    <row r="183" customHeight="1" spans="1:113">
      <c r="A183" s="54" t="s">
        <v>237</v>
      </c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51"/>
      <c r="AQ183" s="51"/>
      <c r="AR183" s="51"/>
      <c r="AS183" s="51"/>
      <c r="AT183" s="51"/>
      <c r="AU183" s="51"/>
      <c r="AV183" s="51"/>
      <c r="AW183" s="51"/>
      <c r="AX183" s="51"/>
      <c r="AY183" s="51"/>
      <c r="AZ183" s="51"/>
      <c r="BA183" s="51"/>
      <c r="BB183" s="51"/>
      <c r="BC183" s="51"/>
      <c r="BD183" s="51"/>
      <c r="BE183" s="51"/>
      <c r="BF183" s="51"/>
      <c r="BG183" s="51"/>
      <c r="BH183" s="51"/>
      <c r="BI183" s="51"/>
      <c r="BJ183" s="51"/>
      <c r="BK183" s="51"/>
      <c r="BL183" s="51"/>
      <c r="BM183" s="51"/>
      <c r="BN183" s="51"/>
      <c r="BO183" s="51"/>
      <c r="BP183" s="51"/>
      <c r="BQ183" s="51"/>
      <c r="BR183" s="51"/>
      <c r="BS183" s="51"/>
      <c r="BT183" s="51"/>
      <c r="BU183" s="51"/>
      <c r="BV183" s="51"/>
      <c r="BW183" s="51"/>
      <c r="BX183" s="51"/>
      <c r="BY183" s="51"/>
      <c r="BZ183" s="51"/>
      <c r="CA183" s="51"/>
      <c r="CB183" s="51"/>
      <c r="CC183" s="51"/>
      <c r="CD183" s="51"/>
      <c r="CE183" s="51"/>
      <c r="CF183" s="51"/>
      <c r="CG183" s="51"/>
      <c r="CH183" s="51"/>
      <c r="CI183" s="51"/>
      <c r="CJ183" s="51"/>
      <c r="CK183" s="51"/>
      <c r="CL183" s="51"/>
      <c r="CM183" s="51"/>
      <c r="CN183" s="51"/>
      <c r="CO183" s="51"/>
      <c r="CP183" s="51"/>
      <c r="CQ183" s="51"/>
      <c r="CR183" s="51"/>
      <c r="CS183" s="51"/>
      <c r="CT183" s="42" t="str">
        <f>IFERROR(('基本数据输入&amp;测算结果'!$C$19*7-AVERAGE(J183:AK183)*7-'基本数据输入&amp;测算结果'!$C$23*7)/'基本数据输入&amp;测算结果'!$C$21*'基本数据输入&amp;测算结果'!$C$22,"无数据/数据缺失")</f>
        <v>无数据/数据缺失</v>
      </c>
      <c r="CU183" s="42">
        <f>IF(CT183&lt;0,0,IF(CT183="无数据/数据缺失",0%,IF(CT183&gt;'基本数据输入&amp;测算结果'!$C$20,100%,CT183/'基本数据输入&amp;测算结果'!$C$20)))</f>
        <v>0</v>
      </c>
      <c r="CV183" s="42" t="str">
        <f>IFERROR((AVERAGE(AL183:AS183)*2-'基本数据输入&amp;测算结果'!$C$24*2)/'基本数据输入&amp;测算结果'!$C$21/'基本数据输入&amp;测算结果'!$C$22,"无数据/数据缺失")</f>
        <v>无数据/数据缺失</v>
      </c>
      <c r="CW183" s="42">
        <f>IF(CV183&lt;0,0,IF(CV183="无数据/数据缺失",0%,IF(CV183&gt;'基本数据输入&amp;测算结果'!$C$20*CU183,CU183,CV183/'基本数据输入&amp;测算结果'!$C$20*CU183)))</f>
        <v>0</v>
      </c>
      <c r="CX183" s="42" t="str">
        <f>IFERROR(('基本数据输入&amp;测算结果'!$C$19*2-AVERAGE(AT183:BA183)*2-'基本数据输入&amp;测算结果'!$C$23*2)/'基本数据输入&amp;测算结果'!$C$21*'基本数据输入&amp;测算结果'!$C$22,"无数据/数据缺失")</f>
        <v>无数据/数据缺失</v>
      </c>
      <c r="CY183" s="42">
        <f>IF(CX183&lt;0,0,IF(CX183="无数据/数据缺失",0%,IF(CX183&gt;'基本数据输入&amp;测算结果'!$C$20,100%,CX183/'基本数据输入&amp;测算结果'!$C$20)))</f>
        <v>0</v>
      </c>
      <c r="CZ183" s="42" t="str">
        <f>IFERROR((AVERAGE(BN183:CS183)*8-'基本数据输入&amp;测算结果'!$C$24*8)/'基本数据输入&amp;测算结果'!$C$21/'基本数据输入&amp;测算结果'!$C$22,"无数据/数据缺失")</f>
        <v>无数据/数据缺失</v>
      </c>
      <c r="DA183" s="42">
        <f>IF(CZ183&lt;0,0,IF(CZ183="无数据/数据缺失",0,IF('基本数据输入&amp;测算结果'!$C$20*CY183&gt;CZ183,CZ183/'基本数据输入&amp;测算结果'!$C$20*CY183,CY183)))</f>
        <v>0</v>
      </c>
      <c r="DB183" s="49">
        <f t="shared" si="9"/>
        <v>0</v>
      </c>
      <c r="DC183" s="50"/>
      <c r="DD183" s="50"/>
      <c r="DE183"/>
      <c r="DF183"/>
      <c r="DG183"/>
      <c r="DH183"/>
      <c r="DI183"/>
    </row>
    <row r="184" customHeight="1" spans="1:113">
      <c r="A184" s="54" t="s">
        <v>238</v>
      </c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51"/>
      <c r="AQ184" s="51"/>
      <c r="AR184" s="51"/>
      <c r="AS184" s="51"/>
      <c r="AT184" s="51"/>
      <c r="AU184" s="51"/>
      <c r="AV184" s="51"/>
      <c r="AW184" s="51"/>
      <c r="AX184" s="51"/>
      <c r="AY184" s="51"/>
      <c r="AZ184" s="51"/>
      <c r="BA184" s="51"/>
      <c r="BB184" s="51"/>
      <c r="BC184" s="51"/>
      <c r="BD184" s="51"/>
      <c r="BE184" s="51"/>
      <c r="BF184" s="51"/>
      <c r="BG184" s="51"/>
      <c r="BH184" s="51"/>
      <c r="BI184" s="51"/>
      <c r="BJ184" s="51"/>
      <c r="BK184" s="51"/>
      <c r="BL184" s="51"/>
      <c r="BM184" s="51"/>
      <c r="BN184" s="51"/>
      <c r="BO184" s="51"/>
      <c r="BP184" s="51"/>
      <c r="BQ184" s="51"/>
      <c r="BR184" s="51"/>
      <c r="BS184" s="51"/>
      <c r="BT184" s="51"/>
      <c r="BU184" s="51"/>
      <c r="BV184" s="51"/>
      <c r="BW184" s="51"/>
      <c r="BX184" s="51"/>
      <c r="BY184" s="51"/>
      <c r="BZ184" s="51"/>
      <c r="CA184" s="51"/>
      <c r="CB184" s="51"/>
      <c r="CC184" s="51"/>
      <c r="CD184" s="51"/>
      <c r="CE184" s="51"/>
      <c r="CF184" s="51"/>
      <c r="CG184" s="51"/>
      <c r="CH184" s="51"/>
      <c r="CI184" s="51"/>
      <c r="CJ184" s="51"/>
      <c r="CK184" s="51"/>
      <c r="CL184" s="51"/>
      <c r="CM184" s="51"/>
      <c r="CN184" s="51"/>
      <c r="CO184" s="51"/>
      <c r="CP184" s="51"/>
      <c r="CQ184" s="51"/>
      <c r="CR184" s="51"/>
      <c r="CS184" s="51"/>
      <c r="CT184" s="42" t="str">
        <f>IFERROR(('基本数据输入&amp;测算结果'!$C$19*7-AVERAGE(J184:AK184)*7-'基本数据输入&amp;测算结果'!$C$23*7)/'基本数据输入&amp;测算结果'!$C$21*'基本数据输入&amp;测算结果'!$C$22,"无数据/数据缺失")</f>
        <v>无数据/数据缺失</v>
      </c>
      <c r="CU184" s="42">
        <f>IF(CT184&lt;0,0,IF(CT184="无数据/数据缺失",0%,IF(CT184&gt;'基本数据输入&amp;测算结果'!$C$20,100%,CT184/'基本数据输入&amp;测算结果'!$C$20)))</f>
        <v>0</v>
      </c>
      <c r="CV184" s="42" t="str">
        <f>IFERROR((AVERAGE(AL184:AS184)*2-'基本数据输入&amp;测算结果'!$C$24*2)/'基本数据输入&amp;测算结果'!$C$21/'基本数据输入&amp;测算结果'!$C$22,"无数据/数据缺失")</f>
        <v>无数据/数据缺失</v>
      </c>
      <c r="CW184" s="42">
        <f>IF(CV184&lt;0,0,IF(CV184="无数据/数据缺失",0%,IF(CV184&gt;'基本数据输入&amp;测算结果'!$C$20*CU184,CU184,CV184/'基本数据输入&amp;测算结果'!$C$20*CU184)))</f>
        <v>0</v>
      </c>
      <c r="CX184" s="42" t="str">
        <f>IFERROR(('基本数据输入&amp;测算结果'!$C$19*2-AVERAGE(AT184:BA184)*2-'基本数据输入&amp;测算结果'!$C$23*2)/'基本数据输入&amp;测算结果'!$C$21*'基本数据输入&amp;测算结果'!$C$22,"无数据/数据缺失")</f>
        <v>无数据/数据缺失</v>
      </c>
      <c r="CY184" s="42">
        <f>IF(CX184&lt;0,0,IF(CX184="无数据/数据缺失",0%,IF(CX184&gt;'基本数据输入&amp;测算结果'!$C$20,100%,CX184/'基本数据输入&amp;测算结果'!$C$20)))</f>
        <v>0</v>
      </c>
      <c r="CZ184" s="42" t="str">
        <f>IFERROR((AVERAGE(BN184:CS184)*8-'基本数据输入&amp;测算结果'!$C$24*8)/'基本数据输入&amp;测算结果'!$C$21/'基本数据输入&amp;测算结果'!$C$22,"无数据/数据缺失")</f>
        <v>无数据/数据缺失</v>
      </c>
      <c r="DA184" s="42">
        <f>IF(CZ184&lt;0,0,IF(CZ184="无数据/数据缺失",0,IF('基本数据输入&amp;测算结果'!$C$20*CY184&gt;CZ184,CZ184/'基本数据输入&amp;测算结果'!$C$20*CY184,CY184)))</f>
        <v>0</v>
      </c>
      <c r="DB184" s="49">
        <f t="shared" ref="DB184:DB215" si="10">MIN(CU184,CW184)+MIN(CY184,DA184)</f>
        <v>0</v>
      </c>
      <c r="DC184" s="50"/>
      <c r="DD184" s="50"/>
      <c r="DE184"/>
      <c r="DF184"/>
      <c r="DG184"/>
      <c r="DH184"/>
      <c r="DI184"/>
    </row>
    <row r="185" customHeight="1" spans="1:113">
      <c r="A185" s="54" t="s">
        <v>239</v>
      </c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51"/>
      <c r="AQ185" s="51"/>
      <c r="AR185" s="51"/>
      <c r="AS185" s="51"/>
      <c r="AT185" s="51"/>
      <c r="AU185" s="51"/>
      <c r="AV185" s="51"/>
      <c r="AW185" s="51"/>
      <c r="AX185" s="51"/>
      <c r="AY185" s="51"/>
      <c r="AZ185" s="51"/>
      <c r="BA185" s="51"/>
      <c r="BB185" s="51"/>
      <c r="BC185" s="51"/>
      <c r="BD185" s="51"/>
      <c r="BE185" s="51"/>
      <c r="BF185" s="51"/>
      <c r="BG185" s="51"/>
      <c r="BH185" s="51"/>
      <c r="BI185" s="51"/>
      <c r="BJ185" s="51"/>
      <c r="BK185" s="51"/>
      <c r="BL185" s="51"/>
      <c r="BM185" s="51"/>
      <c r="BN185" s="51"/>
      <c r="BO185" s="51"/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1"/>
      <c r="CA185" s="51"/>
      <c r="CB185" s="51"/>
      <c r="CC185" s="51"/>
      <c r="CD185" s="51"/>
      <c r="CE185" s="51"/>
      <c r="CF185" s="51"/>
      <c r="CG185" s="51"/>
      <c r="CH185" s="51"/>
      <c r="CI185" s="51"/>
      <c r="CJ185" s="51"/>
      <c r="CK185" s="51"/>
      <c r="CL185" s="51"/>
      <c r="CM185" s="51"/>
      <c r="CN185" s="51"/>
      <c r="CO185" s="51"/>
      <c r="CP185" s="51"/>
      <c r="CQ185" s="51"/>
      <c r="CR185" s="51"/>
      <c r="CS185" s="51"/>
      <c r="CT185" s="42" t="str">
        <f>IFERROR(('基本数据输入&amp;测算结果'!$C$19*7-AVERAGE(J185:AK185)*7-'基本数据输入&amp;测算结果'!$C$23*7)/'基本数据输入&amp;测算结果'!$C$21*'基本数据输入&amp;测算结果'!$C$22,"无数据/数据缺失")</f>
        <v>无数据/数据缺失</v>
      </c>
      <c r="CU185" s="42">
        <f>IF(CT185&lt;0,0,IF(CT185="无数据/数据缺失",0%,IF(CT185&gt;'基本数据输入&amp;测算结果'!$C$20,100%,CT185/'基本数据输入&amp;测算结果'!$C$20)))</f>
        <v>0</v>
      </c>
      <c r="CV185" s="42" t="str">
        <f>IFERROR((AVERAGE(AL185:AS185)*2-'基本数据输入&amp;测算结果'!$C$24*2)/'基本数据输入&amp;测算结果'!$C$21/'基本数据输入&amp;测算结果'!$C$22,"无数据/数据缺失")</f>
        <v>无数据/数据缺失</v>
      </c>
      <c r="CW185" s="42">
        <f>IF(CV185&lt;0,0,IF(CV185="无数据/数据缺失",0%,IF(CV185&gt;'基本数据输入&amp;测算结果'!$C$20*CU185,CU185,CV185/'基本数据输入&amp;测算结果'!$C$20*CU185)))</f>
        <v>0</v>
      </c>
      <c r="CX185" s="42" t="str">
        <f>IFERROR(('基本数据输入&amp;测算结果'!$C$19*2-AVERAGE(AT185:BA185)*2-'基本数据输入&amp;测算结果'!$C$23*2)/'基本数据输入&amp;测算结果'!$C$21*'基本数据输入&amp;测算结果'!$C$22,"无数据/数据缺失")</f>
        <v>无数据/数据缺失</v>
      </c>
      <c r="CY185" s="42">
        <f>IF(CX185&lt;0,0,IF(CX185="无数据/数据缺失",0%,IF(CX185&gt;'基本数据输入&amp;测算结果'!$C$20,100%,CX185/'基本数据输入&amp;测算结果'!$C$20)))</f>
        <v>0</v>
      </c>
      <c r="CZ185" s="42" t="str">
        <f>IFERROR((AVERAGE(BN185:CS185)*8-'基本数据输入&amp;测算结果'!$C$24*8)/'基本数据输入&amp;测算结果'!$C$21/'基本数据输入&amp;测算结果'!$C$22,"无数据/数据缺失")</f>
        <v>无数据/数据缺失</v>
      </c>
      <c r="DA185" s="42">
        <f>IF(CZ185&lt;0,0,IF(CZ185="无数据/数据缺失",0,IF('基本数据输入&amp;测算结果'!$C$20*CY185&gt;CZ185,CZ185/'基本数据输入&amp;测算结果'!$C$20*CY185,CY185)))</f>
        <v>0</v>
      </c>
      <c r="DB185" s="49">
        <f t="shared" si="10"/>
        <v>0</v>
      </c>
      <c r="DC185" s="50"/>
      <c r="DD185" s="50"/>
      <c r="DE185"/>
      <c r="DF185"/>
      <c r="DG185"/>
      <c r="DH185"/>
      <c r="DI185"/>
    </row>
    <row r="186" customHeight="1" spans="1:113">
      <c r="A186" s="54" t="s">
        <v>240</v>
      </c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51"/>
      <c r="AQ186" s="51"/>
      <c r="AR186" s="51"/>
      <c r="AS186" s="51"/>
      <c r="AT186" s="51"/>
      <c r="AU186" s="51"/>
      <c r="AV186" s="51"/>
      <c r="AW186" s="51"/>
      <c r="AX186" s="51"/>
      <c r="AY186" s="51"/>
      <c r="AZ186" s="51"/>
      <c r="BA186" s="51"/>
      <c r="BB186" s="51"/>
      <c r="BC186" s="51"/>
      <c r="BD186" s="51"/>
      <c r="BE186" s="51"/>
      <c r="BF186" s="51"/>
      <c r="BG186" s="51"/>
      <c r="BH186" s="51"/>
      <c r="BI186" s="51"/>
      <c r="BJ186" s="51"/>
      <c r="BK186" s="51"/>
      <c r="BL186" s="51"/>
      <c r="BM186" s="51"/>
      <c r="BN186" s="51"/>
      <c r="BO186" s="51"/>
      <c r="BP186" s="51"/>
      <c r="BQ186" s="51"/>
      <c r="BR186" s="51"/>
      <c r="BS186" s="51"/>
      <c r="BT186" s="51"/>
      <c r="BU186" s="51"/>
      <c r="BV186" s="51"/>
      <c r="BW186" s="51"/>
      <c r="BX186" s="51"/>
      <c r="BY186" s="51"/>
      <c r="BZ186" s="51"/>
      <c r="CA186" s="51"/>
      <c r="CB186" s="51"/>
      <c r="CC186" s="51"/>
      <c r="CD186" s="51"/>
      <c r="CE186" s="51"/>
      <c r="CF186" s="51"/>
      <c r="CG186" s="51"/>
      <c r="CH186" s="51"/>
      <c r="CI186" s="51"/>
      <c r="CJ186" s="51"/>
      <c r="CK186" s="51"/>
      <c r="CL186" s="51"/>
      <c r="CM186" s="51"/>
      <c r="CN186" s="51"/>
      <c r="CO186" s="51"/>
      <c r="CP186" s="51"/>
      <c r="CQ186" s="51"/>
      <c r="CR186" s="51"/>
      <c r="CS186" s="51"/>
      <c r="CT186" s="42" t="str">
        <f>IFERROR(('基本数据输入&amp;测算结果'!$C$19*7-AVERAGE(J186:AK186)*7-'基本数据输入&amp;测算结果'!$C$23*7)/'基本数据输入&amp;测算结果'!$C$21*'基本数据输入&amp;测算结果'!$C$22,"无数据/数据缺失")</f>
        <v>无数据/数据缺失</v>
      </c>
      <c r="CU186" s="42">
        <f>IF(CT186&lt;0,0,IF(CT186="无数据/数据缺失",0%,IF(CT186&gt;'基本数据输入&amp;测算结果'!$C$20,100%,CT186/'基本数据输入&amp;测算结果'!$C$20)))</f>
        <v>0</v>
      </c>
      <c r="CV186" s="42" t="str">
        <f>IFERROR((AVERAGE(AL186:AS186)*2-'基本数据输入&amp;测算结果'!$C$24*2)/'基本数据输入&amp;测算结果'!$C$21/'基本数据输入&amp;测算结果'!$C$22,"无数据/数据缺失")</f>
        <v>无数据/数据缺失</v>
      </c>
      <c r="CW186" s="42">
        <f>IF(CV186&lt;0,0,IF(CV186="无数据/数据缺失",0%,IF(CV186&gt;'基本数据输入&amp;测算结果'!$C$20*CU186,CU186,CV186/'基本数据输入&amp;测算结果'!$C$20*CU186)))</f>
        <v>0</v>
      </c>
      <c r="CX186" s="42" t="str">
        <f>IFERROR(('基本数据输入&amp;测算结果'!$C$19*2-AVERAGE(AT186:BA186)*2-'基本数据输入&amp;测算结果'!$C$23*2)/'基本数据输入&amp;测算结果'!$C$21*'基本数据输入&amp;测算结果'!$C$22,"无数据/数据缺失")</f>
        <v>无数据/数据缺失</v>
      </c>
      <c r="CY186" s="42">
        <f>IF(CX186&lt;0,0,IF(CX186="无数据/数据缺失",0%,IF(CX186&gt;'基本数据输入&amp;测算结果'!$C$20,100%,CX186/'基本数据输入&amp;测算结果'!$C$20)))</f>
        <v>0</v>
      </c>
      <c r="CZ186" s="42" t="str">
        <f>IFERROR((AVERAGE(BN186:CS186)*8-'基本数据输入&amp;测算结果'!$C$24*8)/'基本数据输入&amp;测算结果'!$C$21/'基本数据输入&amp;测算结果'!$C$22,"无数据/数据缺失")</f>
        <v>无数据/数据缺失</v>
      </c>
      <c r="DA186" s="42">
        <f>IF(CZ186&lt;0,0,IF(CZ186="无数据/数据缺失",0,IF('基本数据输入&amp;测算结果'!$C$20*CY186&gt;CZ186,CZ186/'基本数据输入&amp;测算结果'!$C$20*CY186,CY186)))</f>
        <v>0</v>
      </c>
      <c r="DB186" s="49">
        <f t="shared" si="10"/>
        <v>0</v>
      </c>
      <c r="DC186" s="50"/>
      <c r="DD186" s="50"/>
      <c r="DE186"/>
      <c r="DF186"/>
      <c r="DG186"/>
      <c r="DH186"/>
      <c r="DI186"/>
    </row>
    <row r="187" customHeight="1" spans="1:113">
      <c r="A187" s="54" t="s">
        <v>241</v>
      </c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51"/>
      <c r="AQ187" s="51"/>
      <c r="AR187" s="51"/>
      <c r="AS187" s="51"/>
      <c r="AT187" s="51"/>
      <c r="AU187" s="51"/>
      <c r="AV187" s="51"/>
      <c r="AW187" s="51"/>
      <c r="AX187" s="51"/>
      <c r="AY187" s="51"/>
      <c r="AZ187" s="51"/>
      <c r="BA187" s="51"/>
      <c r="BB187" s="51"/>
      <c r="BC187" s="51"/>
      <c r="BD187" s="51"/>
      <c r="BE187" s="51"/>
      <c r="BF187" s="51"/>
      <c r="BG187" s="51"/>
      <c r="BH187" s="51"/>
      <c r="BI187" s="51"/>
      <c r="BJ187" s="51"/>
      <c r="BK187" s="51"/>
      <c r="BL187" s="51"/>
      <c r="BM187" s="51"/>
      <c r="BN187" s="51"/>
      <c r="BO187" s="51"/>
      <c r="BP187" s="51"/>
      <c r="BQ187" s="51"/>
      <c r="BR187" s="51"/>
      <c r="BS187" s="51"/>
      <c r="BT187" s="51"/>
      <c r="BU187" s="51"/>
      <c r="BV187" s="51"/>
      <c r="BW187" s="51"/>
      <c r="BX187" s="51"/>
      <c r="BY187" s="51"/>
      <c r="BZ187" s="51"/>
      <c r="CA187" s="51"/>
      <c r="CB187" s="51"/>
      <c r="CC187" s="51"/>
      <c r="CD187" s="51"/>
      <c r="CE187" s="51"/>
      <c r="CF187" s="51"/>
      <c r="CG187" s="51"/>
      <c r="CH187" s="51"/>
      <c r="CI187" s="51"/>
      <c r="CJ187" s="51"/>
      <c r="CK187" s="51"/>
      <c r="CL187" s="51"/>
      <c r="CM187" s="51"/>
      <c r="CN187" s="51"/>
      <c r="CO187" s="51"/>
      <c r="CP187" s="51"/>
      <c r="CQ187" s="51"/>
      <c r="CR187" s="51"/>
      <c r="CS187" s="51"/>
      <c r="CT187" s="42" t="str">
        <f>IFERROR(('基本数据输入&amp;测算结果'!$C$19*7-AVERAGE(J187:AK187)*7-'基本数据输入&amp;测算结果'!$C$23*7)/'基本数据输入&amp;测算结果'!$C$21*'基本数据输入&amp;测算结果'!$C$22,"无数据/数据缺失")</f>
        <v>无数据/数据缺失</v>
      </c>
      <c r="CU187" s="42">
        <f>IF(CT187&lt;0,0,IF(CT187="无数据/数据缺失",0%,IF(CT187&gt;'基本数据输入&amp;测算结果'!$C$20,100%,CT187/'基本数据输入&amp;测算结果'!$C$20)))</f>
        <v>0</v>
      </c>
      <c r="CV187" s="42" t="str">
        <f>IFERROR((AVERAGE(AL187:AS187)*2-'基本数据输入&amp;测算结果'!$C$24*2)/'基本数据输入&amp;测算结果'!$C$21/'基本数据输入&amp;测算结果'!$C$22,"无数据/数据缺失")</f>
        <v>无数据/数据缺失</v>
      </c>
      <c r="CW187" s="42">
        <f>IF(CV187&lt;0,0,IF(CV187="无数据/数据缺失",0%,IF(CV187&gt;'基本数据输入&amp;测算结果'!$C$20*CU187,CU187,CV187/'基本数据输入&amp;测算结果'!$C$20*CU187)))</f>
        <v>0</v>
      </c>
      <c r="CX187" s="42" t="str">
        <f>IFERROR(('基本数据输入&amp;测算结果'!$C$19*2-AVERAGE(AT187:BA187)*2-'基本数据输入&amp;测算结果'!$C$23*2)/'基本数据输入&amp;测算结果'!$C$21*'基本数据输入&amp;测算结果'!$C$22,"无数据/数据缺失")</f>
        <v>无数据/数据缺失</v>
      </c>
      <c r="CY187" s="42">
        <f>IF(CX187&lt;0,0,IF(CX187="无数据/数据缺失",0%,IF(CX187&gt;'基本数据输入&amp;测算结果'!$C$20,100%,CX187/'基本数据输入&amp;测算结果'!$C$20)))</f>
        <v>0</v>
      </c>
      <c r="CZ187" s="42" t="str">
        <f>IFERROR((AVERAGE(BN187:CS187)*8-'基本数据输入&amp;测算结果'!$C$24*8)/'基本数据输入&amp;测算结果'!$C$21/'基本数据输入&amp;测算结果'!$C$22,"无数据/数据缺失")</f>
        <v>无数据/数据缺失</v>
      </c>
      <c r="DA187" s="42">
        <f>IF(CZ187&lt;0,0,IF(CZ187="无数据/数据缺失",0,IF('基本数据输入&amp;测算结果'!$C$20*CY187&gt;CZ187,CZ187/'基本数据输入&amp;测算结果'!$C$20*CY187,CY187)))</f>
        <v>0</v>
      </c>
      <c r="DB187" s="49">
        <f t="shared" si="10"/>
        <v>0</v>
      </c>
      <c r="DC187" s="50"/>
      <c r="DD187" s="50"/>
      <c r="DE187"/>
      <c r="DF187"/>
      <c r="DG187"/>
      <c r="DH187"/>
      <c r="DI187"/>
    </row>
    <row r="188" customHeight="1" spans="1:113">
      <c r="A188" s="54" t="s">
        <v>242</v>
      </c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51"/>
      <c r="AQ188" s="51"/>
      <c r="AR188" s="51"/>
      <c r="AS188" s="51"/>
      <c r="AT188" s="51"/>
      <c r="AU188" s="51"/>
      <c r="AV188" s="51"/>
      <c r="AW188" s="51"/>
      <c r="AX188" s="51"/>
      <c r="AY188" s="51"/>
      <c r="AZ188" s="51"/>
      <c r="BA188" s="51"/>
      <c r="BB188" s="51"/>
      <c r="BC188" s="51"/>
      <c r="BD188" s="51"/>
      <c r="BE188" s="51"/>
      <c r="BF188" s="51"/>
      <c r="BG188" s="51"/>
      <c r="BH188" s="51"/>
      <c r="BI188" s="51"/>
      <c r="BJ188" s="51"/>
      <c r="BK188" s="51"/>
      <c r="BL188" s="51"/>
      <c r="BM188" s="51"/>
      <c r="BN188" s="51"/>
      <c r="BO188" s="51"/>
      <c r="BP188" s="51"/>
      <c r="BQ188" s="51"/>
      <c r="BR188" s="51"/>
      <c r="BS188" s="51"/>
      <c r="BT188" s="51"/>
      <c r="BU188" s="51"/>
      <c r="BV188" s="51"/>
      <c r="BW188" s="51"/>
      <c r="BX188" s="51"/>
      <c r="BY188" s="51"/>
      <c r="BZ188" s="51"/>
      <c r="CA188" s="51"/>
      <c r="CB188" s="51"/>
      <c r="CC188" s="51"/>
      <c r="CD188" s="51"/>
      <c r="CE188" s="51"/>
      <c r="CF188" s="51"/>
      <c r="CG188" s="51"/>
      <c r="CH188" s="51"/>
      <c r="CI188" s="51"/>
      <c r="CJ188" s="51"/>
      <c r="CK188" s="51"/>
      <c r="CL188" s="51"/>
      <c r="CM188" s="51"/>
      <c r="CN188" s="51"/>
      <c r="CO188" s="51"/>
      <c r="CP188" s="51"/>
      <c r="CQ188" s="51"/>
      <c r="CR188" s="51"/>
      <c r="CS188" s="51"/>
      <c r="CT188" s="42" t="str">
        <f>IFERROR(('基本数据输入&amp;测算结果'!$C$19*7-AVERAGE(J188:AK188)*7-'基本数据输入&amp;测算结果'!$C$23*7)/'基本数据输入&amp;测算结果'!$C$21*'基本数据输入&amp;测算结果'!$C$22,"无数据/数据缺失")</f>
        <v>无数据/数据缺失</v>
      </c>
      <c r="CU188" s="42">
        <f>IF(CT188&lt;0,0,IF(CT188="无数据/数据缺失",0%,IF(CT188&gt;'基本数据输入&amp;测算结果'!$C$20,100%,CT188/'基本数据输入&amp;测算结果'!$C$20)))</f>
        <v>0</v>
      </c>
      <c r="CV188" s="42" t="str">
        <f>IFERROR((AVERAGE(AL188:AS188)*2-'基本数据输入&amp;测算结果'!$C$24*2)/'基本数据输入&amp;测算结果'!$C$21/'基本数据输入&amp;测算结果'!$C$22,"无数据/数据缺失")</f>
        <v>无数据/数据缺失</v>
      </c>
      <c r="CW188" s="42">
        <f>IF(CV188&lt;0,0,IF(CV188="无数据/数据缺失",0%,IF(CV188&gt;'基本数据输入&amp;测算结果'!$C$20*CU188,CU188,CV188/'基本数据输入&amp;测算结果'!$C$20*CU188)))</f>
        <v>0</v>
      </c>
      <c r="CX188" s="42" t="str">
        <f>IFERROR(('基本数据输入&amp;测算结果'!$C$19*2-AVERAGE(AT188:BA188)*2-'基本数据输入&amp;测算结果'!$C$23*2)/'基本数据输入&amp;测算结果'!$C$21*'基本数据输入&amp;测算结果'!$C$22,"无数据/数据缺失")</f>
        <v>无数据/数据缺失</v>
      </c>
      <c r="CY188" s="42">
        <f>IF(CX188&lt;0,0,IF(CX188="无数据/数据缺失",0%,IF(CX188&gt;'基本数据输入&amp;测算结果'!$C$20,100%,CX188/'基本数据输入&amp;测算结果'!$C$20)))</f>
        <v>0</v>
      </c>
      <c r="CZ188" s="42" t="str">
        <f>IFERROR((AVERAGE(BN188:CS188)*8-'基本数据输入&amp;测算结果'!$C$24*8)/'基本数据输入&amp;测算结果'!$C$21/'基本数据输入&amp;测算结果'!$C$22,"无数据/数据缺失")</f>
        <v>无数据/数据缺失</v>
      </c>
      <c r="DA188" s="42">
        <f>IF(CZ188&lt;0,0,IF(CZ188="无数据/数据缺失",0,IF('基本数据输入&amp;测算结果'!$C$20*CY188&gt;CZ188,CZ188/'基本数据输入&amp;测算结果'!$C$20*CY188,CY188)))</f>
        <v>0</v>
      </c>
      <c r="DB188" s="49">
        <f t="shared" si="10"/>
        <v>0</v>
      </c>
      <c r="DC188" s="50"/>
      <c r="DD188" s="50"/>
      <c r="DE188"/>
      <c r="DF188"/>
      <c r="DG188"/>
      <c r="DH188"/>
      <c r="DI188"/>
    </row>
    <row r="189" customHeight="1" spans="1:113">
      <c r="A189" s="54" t="s">
        <v>243</v>
      </c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51"/>
      <c r="AQ189" s="51"/>
      <c r="AR189" s="51"/>
      <c r="AS189" s="51"/>
      <c r="AT189" s="51"/>
      <c r="AU189" s="51"/>
      <c r="AV189" s="51"/>
      <c r="AW189" s="51"/>
      <c r="AX189" s="51"/>
      <c r="AY189" s="51"/>
      <c r="AZ189" s="51"/>
      <c r="BA189" s="51"/>
      <c r="BB189" s="51"/>
      <c r="BC189" s="51"/>
      <c r="BD189" s="51"/>
      <c r="BE189" s="51"/>
      <c r="BF189" s="51"/>
      <c r="BG189" s="51"/>
      <c r="BH189" s="51"/>
      <c r="BI189" s="51"/>
      <c r="BJ189" s="51"/>
      <c r="BK189" s="51"/>
      <c r="BL189" s="51"/>
      <c r="BM189" s="51"/>
      <c r="BN189" s="51"/>
      <c r="BO189" s="51"/>
      <c r="BP189" s="51"/>
      <c r="BQ189" s="51"/>
      <c r="BR189" s="51"/>
      <c r="BS189" s="51"/>
      <c r="BT189" s="51"/>
      <c r="BU189" s="51"/>
      <c r="BV189" s="51"/>
      <c r="BW189" s="51"/>
      <c r="BX189" s="51"/>
      <c r="BY189" s="51"/>
      <c r="BZ189" s="51"/>
      <c r="CA189" s="51"/>
      <c r="CB189" s="51"/>
      <c r="CC189" s="51"/>
      <c r="CD189" s="51"/>
      <c r="CE189" s="51"/>
      <c r="CF189" s="51"/>
      <c r="CG189" s="51"/>
      <c r="CH189" s="51"/>
      <c r="CI189" s="51"/>
      <c r="CJ189" s="51"/>
      <c r="CK189" s="51"/>
      <c r="CL189" s="51"/>
      <c r="CM189" s="51"/>
      <c r="CN189" s="51"/>
      <c r="CO189" s="51"/>
      <c r="CP189" s="51"/>
      <c r="CQ189" s="51"/>
      <c r="CR189" s="51"/>
      <c r="CS189" s="51"/>
      <c r="CT189" s="42" t="str">
        <f>IFERROR(('基本数据输入&amp;测算结果'!$C$19*7-AVERAGE(J189:AK189)*7-'基本数据输入&amp;测算结果'!$C$23*7)/'基本数据输入&amp;测算结果'!$C$21*'基本数据输入&amp;测算结果'!$C$22,"无数据/数据缺失")</f>
        <v>无数据/数据缺失</v>
      </c>
      <c r="CU189" s="42">
        <f>IF(CT189&lt;0,0,IF(CT189="无数据/数据缺失",0%,IF(CT189&gt;'基本数据输入&amp;测算结果'!$C$20,100%,CT189/'基本数据输入&amp;测算结果'!$C$20)))</f>
        <v>0</v>
      </c>
      <c r="CV189" s="42" t="str">
        <f>IFERROR((AVERAGE(AL189:AS189)*2-'基本数据输入&amp;测算结果'!$C$24*2)/'基本数据输入&amp;测算结果'!$C$21/'基本数据输入&amp;测算结果'!$C$22,"无数据/数据缺失")</f>
        <v>无数据/数据缺失</v>
      </c>
      <c r="CW189" s="42">
        <f>IF(CV189&lt;0,0,IF(CV189="无数据/数据缺失",0%,IF(CV189&gt;'基本数据输入&amp;测算结果'!$C$20*CU189,CU189,CV189/'基本数据输入&amp;测算结果'!$C$20*CU189)))</f>
        <v>0</v>
      </c>
      <c r="CX189" s="42" t="str">
        <f>IFERROR(('基本数据输入&amp;测算结果'!$C$19*2-AVERAGE(AT189:BA189)*2-'基本数据输入&amp;测算结果'!$C$23*2)/'基本数据输入&amp;测算结果'!$C$21*'基本数据输入&amp;测算结果'!$C$22,"无数据/数据缺失")</f>
        <v>无数据/数据缺失</v>
      </c>
      <c r="CY189" s="42">
        <f>IF(CX189&lt;0,0,IF(CX189="无数据/数据缺失",0%,IF(CX189&gt;'基本数据输入&amp;测算结果'!$C$20,100%,CX189/'基本数据输入&amp;测算结果'!$C$20)))</f>
        <v>0</v>
      </c>
      <c r="CZ189" s="42" t="str">
        <f>IFERROR((AVERAGE(BN189:CS189)*8-'基本数据输入&amp;测算结果'!$C$24*8)/'基本数据输入&amp;测算结果'!$C$21/'基本数据输入&amp;测算结果'!$C$22,"无数据/数据缺失")</f>
        <v>无数据/数据缺失</v>
      </c>
      <c r="DA189" s="42">
        <f>IF(CZ189&lt;0,0,IF(CZ189="无数据/数据缺失",0,IF('基本数据输入&amp;测算结果'!$C$20*CY189&gt;CZ189,CZ189/'基本数据输入&amp;测算结果'!$C$20*CY189,CY189)))</f>
        <v>0</v>
      </c>
      <c r="DB189" s="49">
        <f t="shared" si="10"/>
        <v>0</v>
      </c>
      <c r="DC189" s="50"/>
      <c r="DD189" s="50"/>
      <c r="DE189"/>
      <c r="DF189"/>
      <c r="DG189"/>
      <c r="DH189"/>
      <c r="DI189"/>
    </row>
    <row r="190" customHeight="1" spans="1:113">
      <c r="A190" s="54" t="s">
        <v>244</v>
      </c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51"/>
      <c r="AQ190" s="51"/>
      <c r="AR190" s="51"/>
      <c r="AS190" s="51"/>
      <c r="AT190" s="51"/>
      <c r="AU190" s="51"/>
      <c r="AV190" s="51"/>
      <c r="AW190" s="51"/>
      <c r="AX190" s="51"/>
      <c r="AY190" s="51"/>
      <c r="AZ190" s="51"/>
      <c r="BA190" s="51"/>
      <c r="BB190" s="51"/>
      <c r="BC190" s="51"/>
      <c r="BD190" s="51"/>
      <c r="BE190" s="51"/>
      <c r="BF190" s="51"/>
      <c r="BG190" s="51"/>
      <c r="BH190" s="51"/>
      <c r="BI190" s="51"/>
      <c r="BJ190" s="51"/>
      <c r="BK190" s="51"/>
      <c r="BL190" s="51"/>
      <c r="BM190" s="51"/>
      <c r="BN190" s="51"/>
      <c r="BO190" s="51"/>
      <c r="BP190" s="51"/>
      <c r="BQ190" s="51"/>
      <c r="BR190" s="51"/>
      <c r="BS190" s="51"/>
      <c r="BT190" s="51"/>
      <c r="BU190" s="51"/>
      <c r="BV190" s="51"/>
      <c r="BW190" s="51"/>
      <c r="BX190" s="51"/>
      <c r="BY190" s="51"/>
      <c r="BZ190" s="51"/>
      <c r="CA190" s="51"/>
      <c r="CB190" s="51"/>
      <c r="CC190" s="51"/>
      <c r="CD190" s="51"/>
      <c r="CE190" s="51"/>
      <c r="CF190" s="51"/>
      <c r="CG190" s="51"/>
      <c r="CH190" s="51"/>
      <c r="CI190" s="51"/>
      <c r="CJ190" s="51"/>
      <c r="CK190" s="51"/>
      <c r="CL190" s="51"/>
      <c r="CM190" s="51"/>
      <c r="CN190" s="51"/>
      <c r="CO190" s="51"/>
      <c r="CP190" s="51"/>
      <c r="CQ190" s="51"/>
      <c r="CR190" s="51"/>
      <c r="CS190" s="51"/>
      <c r="CT190" s="42" t="str">
        <f>IFERROR(('基本数据输入&amp;测算结果'!$C$19*7-AVERAGE(J190:AK190)*7-'基本数据输入&amp;测算结果'!$C$23*7)/'基本数据输入&amp;测算结果'!$C$21*'基本数据输入&amp;测算结果'!$C$22,"无数据/数据缺失")</f>
        <v>无数据/数据缺失</v>
      </c>
      <c r="CU190" s="42">
        <f>IF(CT190&lt;0,0,IF(CT190="无数据/数据缺失",0%,IF(CT190&gt;'基本数据输入&amp;测算结果'!$C$20,100%,CT190/'基本数据输入&amp;测算结果'!$C$20)))</f>
        <v>0</v>
      </c>
      <c r="CV190" s="42" t="str">
        <f>IFERROR((AVERAGE(AL190:AS190)*2-'基本数据输入&amp;测算结果'!$C$24*2)/'基本数据输入&amp;测算结果'!$C$21/'基本数据输入&amp;测算结果'!$C$22,"无数据/数据缺失")</f>
        <v>无数据/数据缺失</v>
      </c>
      <c r="CW190" s="42">
        <f>IF(CV190&lt;0,0,IF(CV190="无数据/数据缺失",0%,IF(CV190&gt;'基本数据输入&amp;测算结果'!$C$20*CU190,CU190,CV190/'基本数据输入&amp;测算结果'!$C$20*CU190)))</f>
        <v>0</v>
      </c>
      <c r="CX190" s="42" t="str">
        <f>IFERROR(('基本数据输入&amp;测算结果'!$C$19*2-AVERAGE(AT190:BA190)*2-'基本数据输入&amp;测算结果'!$C$23*2)/'基本数据输入&amp;测算结果'!$C$21*'基本数据输入&amp;测算结果'!$C$22,"无数据/数据缺失")</f>
        <v>无数据/数据缺失</v>
      </c>
      <c r="CY190" s="42">
        <f>IF(CX190&lt;0,0,IF(CX190="无数据/数据缺失",0%,IF(CX190&gt;'基本数据输入&amp;测算结果'!$C$20,100%,CX190/'基本数据输入&amp;测算结果'!$C$20)))</f>
        <v>0</v>
      </c>
      <c r="CZ190" s="42" t="str">
        <f>IFERROR((AVERAGE(BN190:CS190)*8-'基本数据输入&amp;测算结果'!$C$24*8)/'基本数据输入&amp;测算结果'!$C$21/'基本数据输入&amp;测算结果'!$C$22,"无数据/数据缺失")</f>
        <v>无数据/数据缺失</v>
      </c>
      <c r="DA190" s="42">
        <f>IF(CZ190&lt;0,0,IF(CZ190="无数据/数据缺失",0,IF('基本数据输入&amp;测算结果'!$C$20*CY190&gt;CZ190,CZ190/'基本数据输入&amp;测算结果'!$C$20*CY190,CY190)))</f>
        <v>0</v>
      </c>
      <c r="DB190" s="49">
        <f t="shared" si="10"/>
        <v>0</v>
      </c>
      <c r="DC190" s="50"/>
      <c r="DD190" s="50"/>
      <c r="DE190"/>
      <c r="DF190"/>
      <c r="DG190"/>
      <c r="DH190"/>
      <c r="DI190"/>
    </row>
    <row r="191" customHeight="1" spans="1:113">
      <c r="A191" s="54" t="s">
        <v>245</v>
      </c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51"/>
      <c r="AQ191" s="51"/>
      <c r="AR191" s="51"/>
      <c r="AS191" s="51"/>
      <c r="AT191" s="51"/>
      <c r="AU191" s="51"/>
      <c r="AV191" s="51"/>
      <c r="AW191" s="51"/>
      <c r="AX191" s="51"/>
      <c r="AY191" s="51"/>
      <c r="AZ191" s="51"/>
      <c r="BA191" s="51"/>
      <c r="BB191" s="51"/>
      <c r="BC191" s="51"/>
      <c r="BD191" s="51"/>
      <c r="BE191" s="51"/>
      <c r="BF191" s="51"/>
      <c r="BG191" s="51"/>
      <c r="BH191" s="51"/>
      <c r="BI191" s="51"/>
      <c r="BJ191" s="51"/>
      <c r="BK191" s="51"/>
      <c r="BL191" s="51"/>
      <c r="BM191" s="51"/>
      <c r="BN191" s="51"/>
      <c r="BO191" s="51"/>
      <c r="BP191" s="51"/>
      <c r="BQ191" s="51"/>
      <c r="BR191" s="51"/>
      <c r="BS191" s="51"/>
      <c r="BT191" s="51"/>
      <c r="BU191" s="51"/>
      <c r="BV191" s="51"/>
      <c r="BW191" s="51"/>
      <c r="BX191" s="51"/>
      <c r="BY191" s="51"/>
      <c r="BZ191" s="51"/>
      <c r="CA191" s="51"/>
      <c r="CB191" s="51"/>
      <c r="CC191" s="51"/>
      <c r="CD191" s="51"/>
      <c r="CE191" s="51"/>
      <c r="CF191" s="51"/>
      <c r="CG191" s="51"/>
      <c r="CH191" s="51"/>
      <c r="CI191" s="51"/>
      <c r="CJ191" s="51"/>
      <c r="CK191" s="51"/>
      <c r="CL191" s="51"/>
      <c r="CM191" s="51"/>
      <c r="CN191" s="51"/>
      <c r="CO191" s="51"/>
      <c r="CP191" s="51"/>
      <c r="CQ191" s="51"/>
      <c r="CR191" s="51"/>
      <c r="CS191" s="51"/>
      <c r="CT191" s="42" t="str">
        <f>IFERROR(('基本数据输入&amp;测算结果'!$C$19*7-AVERAGE(J191:AK191)*7-'基本数据输入&amp;测算结果'!$C$23*7)/'基本数据输入&amp;测算结果'!$C$21*'基本数据输入&amp;测算结果'!$C$22,"无数据/数据缺失")</f>
        <v>无数据/数据缺失</v>
      </c>
      <c r="CU191" s="42">
        <f>IF(CT191&lt;0,0,IF(CT191="无数据/数据缺失",0%,IF(CT191&gt;'基本数据输入&amp;测算结果'!$C$20,100%,CT191/'基本数据输入&amp;测算结果'!$C$20)))</f>
        <v>0</v>
      </c>
      <c r="CV191" s="42" t="str">
        <f>IFERROR((AVERAGE(AL191:AS191)*2-'基本数据输入&amp;测算结果'!$C$24*2)/'基本数据输入&amp;测算结果'!$C$21/'基本数据输入&amp;测算结果'!$C$22,"无数据/数据缺失")</f>
        <v>无数据/数据缺失</v>
      </c>
      <c r="CW191" s="42">
        <f>IF(CV191&lt;0,0,IF(CV191="无数据/数据缺失",0%,IF(CV191&gt;'基本数据输入&amp;测算结果'!$C$20*CU191,CU191,CV191/'基本数据输入&amp;测算结果'!$C$20*CU191)))</f>
        <v>0</v>
      </c>
      <c r="CX191" s="42" t="str">
        <f>IFERROR(('基本数据输入&amp;测算结果'!$C$19*2-AVERAGE(AT191:BA191)*2-'基本数据输入&amp;测算结果'!$C$23*2)/'基本数据输入&amp;测算结果'!$C$21*'基本数据输入&amp;测算结果'!$C$22,"无数据/数据缺失")</f>
        <v>无数据/数据缺失</v>
      </c>
      <c r="CY191" s="42">
        <f>IF(CX191&lt;0,0,IF(CX191="无数据/数据缺失",0%,IF(CX191&gt;'基本数据输入&amp;测算结果'!$C$20,100%,CX191/'基本数据输入&amp;测算结果'!$C$20)))</f>
        <v>0</v>
      </c>
      <c r="CZ191" s="42" t="str">
        <f>IFERROR((AVERAGE(BN191:CS191)*8-'基本数据输入&amp;测算结果'!$C$24*8)/'基本数据输入&amp;测算结果'!$C$21/'基本数据输入&amp;测算结果'!$C$22,"无数据/数据缺失")</f>
        <v>无数据/数据缺失</v>
      </c>
      <c r="DA191" s="42">
        <f>IF(CZ191&lt;0,0,IF(CZ191="无数据/数据缺失",0,IF('基本数据输入&amp;测算结果'!$C$20*CY191&gt;CZ191,CZ191/'基本数据输入&amp;测算结果'!$C$20*CY191,CY191)))</f>
        <v>0</v>
      </c>
      <c r="DB191" s="49">
        <f t="shared" si="10"/>
        <v>0</v>
      </c>
      <c r="DC191" s="50"/>
      <c r="DD191" s="50"/>
      <c r="DE191"/>
      <c r="DF191"/>
      <c r="DG191"/>
      <c r="DH191"/>
      <c r="DI191"/>
    </row>
    <row r="192" customHeight="1" spans="1:113">
      <c r="A192" s="54" t="s">
        <v>246</v>
      </c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51"/>
      <c r="AQ192" s="51"/>
      <c r="AR192" s="51"/>
      <c r="AS192" s="51"/>
      <c r="AT192" s="51"/>
      <c r="AU192" s="51"/>
      <c r="AV192" s="51"/>
      <c r="AW192" s="51"/>
      <c r="AX192" s="51"/>
      <c r="AY192" s="51"/>
      <c r="AZ192" s="51"/>
      <c r="BA192" s="51"/>
      <c r="BB192" s="51"/>
      <c r="BC192" s="51"/>
      <c r="BD192" s="51"/>
      <c r="BE192" s="51"/>
      <c r="BF192" s="51"/>
      <c r="BG192" s="51"/>
      <c r="BH192" s="51"/>
      <c r="BI192" s="51"/>
      <c r="BJ192" s="51"/>
      <c r="BK192" s="51"/>
      <c r="BL192" s="51"/>
      <c r="BM192" s="51"/>
      <c r="BN192" s="51"/>
      <c r="BO192" s="51"/>
      <c r="BP192" s="51"/>
      <c r="BQ192" s="51"/>
      <c r="BR192" s="51"/>
      <c r="BS192" s="51"/>
      <c r="BT192" s="51"/>
      <c r="BU192" s="51"/>
      <c r="BV192" s="51"/>
      <c r="BW192" s="51"/>
      <c r="BX192" s="51"/>
      <c r="BY192" s="51"/>
      <c r="BZ192" s="51"/>
      <c r="CA192" s="51"/>
      <c r="CB192" s="51"/>
      <c r="CC192" s="51"/>
      <c r="CD192" s="51"/>
      <c r="CE192" s="51"/>
      <c r="CF192" s="51"/>
      <c r="CG192" s="51"/>
      <c r="CH192" s="51"/>
      <c r="CI192" s="51"/>
      <c r="CJ192" s="51"/>
      <c r="CK192" s="51"/>
      <c r="CL192" s="51"/>
      <c r="CM192" s="51"/>
      <c r="CN192" s="51"/>
      <c r="CO192" s="51"/>
      <c r="CP192" s="51"/>
      <c r="CQ192" s="51"/>
      <c r="CR192" s="51"/>
      <c r="CS192" s="51"/>
      <c r="CT192" s="42" t="str">
        <f>IFERROR(('基本数据输入&amp;测算结果'!$C$19*7-AVERAGE(J192:AK192)*7-'基本数据输入&amp;测算结果'!$C$23*7)/'基本数据输入&amp;测算结果'!$C$21*'基本数据输入&amp;测算结果'!$C$22,"无数据/数据缺失")</f>
        <v>无数据/数据缺失</v>
      </c>
      <c r="CU192" s="42">
        <f>IF(CT192&lt;0,0,IF(CT192="无数据/数据缺失",0%,IF(CT192&gt;'基本数据输入&amp;测算结果'!$C$20,100%,CT192/'基本数据输入&amp;测算结果'!$C$20)))</f>
        <v>0</v>
      </c>
      <c r="CV192" s="42" t="str">
        <f>IFERROR((AVERAGE(AL192:AS192)*2-'基本数据输入&amp;测算结果'!$C$24*2)/'基本数据输入&amp;测算结果'!$C$21/'基本数据输入&amp;测算结果'!$C$22,"无数据/数据缺失")</f>
        <v>无数据/数据缺失</v>
      </c>
      <c r="CW192" s="42">
        <f>IF(CV192&lt;0,0,IF(CV192="无数据/数据缺失",0%,IF(CV192&gt;'基本数据输入&amp;测算结果'!$C$20*CU192,CU192,CV192/'基本数据输入&amp;测算结果'!$C$20*CU192)))</f>
        <v>0</v>
      </c>
      <c r="CX192" s="42" t="str">
        <f>IFERROR(('基本数据输入&amp;测算结果'!$C$19*2-AVERAGE(AT192:BA192)*2-'基本数据输入&amp;测算结果'!$C$23*2)/'基本数据输入&amp;测算结果'!$C$21*'基本数据输入&amp;测算结果'!$C$22,"无数据/数据缺失")</f>
        <v>无数据/数据缺失</v>
      </c>
      <c r="CY192" s="42">
        <f>IF(CX192&lt;0,0,IF(CX192="无数据/数据缺失",0%,IF(CX192&gt;'基本数据输入&amp;测算结果'!$C$20,100%,CX192/'基本数据输入&amp;测算结果'!$C$20)))</f>
        <v>0</v>
      </c>
      <c r="CZ192" s="42" t="str">
        <f>IFERROR((AVERAGE(BN192:CS192)*8-'基本数据输入&amp;测算结果'!$C$24*8)/'基本数据输入&amp;测算结果'!$C$21/'基本数据输入&amp;测算结果'!$C$22,"无数据/数据缺失")</f>
        <v>无数据/数据缺失</v>
      </c>
      <c r="DA192" s="42">
        <f>IF(CZ192&lt;0,0,IF(CZ192="无数据/数据缺失",0,IF('基本数据输入&amp;测算结果'!$C$20*CY192&gt;CZ192,CZ192/'基本数据输入&amp;测算结果'!$C$20*CY192,CY192)))</f>
        <v>0</v>
      </c>
      <c r="DB192" s="49">
        <f t="shared" si="10"/>
        <v>0</v>
      </c>
      <c r="DC192" s="50"/>
      <c r="DD192" s="50"/>
      <c r="DE192"/>
      <c r="DF192"/>
      <c r="DG192"/>
      <c r="DH192"/>
      <c r="DI192"/>
    </row>
    <row r="193" customHeight="1" spans="1:113">
      <c r="A193" s="54" t="s">
        <v>247</v>
      </c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51"/>
      <c r="AQ193" s="51"/>
      <c r="AR193" s="51"/>
      <c r="AS193" s="51"/>
      <c r="AT193" s="51"/>
      <c r="AU193" s="51"/>
      <c r="AV193" s="51"/>
      <c r="AW193" s="51"/>
      <c r="AX193" s="51"/>
      <c r="AY193" s="51"/>
      <c r="AZ193" s="51"/>
      <c r="BA193" s="51"/>
      <c r="BB193" s="51"/>
      <c r="BC193" s="51"/>
      <c r="BD193" s="51"/>
      <c r="BE193" s="51"/>
      <c r="BF193" s="51"/>
      <c r="BG193" s="51"/>
      <c r="BH193" s="51"/>
      <c r="BI193" s="51"/>
      <c r="BJ193" s="51"/>
      <c r="BK193" s="51"/>
      <c r="BL193" s="51"/>
      <c r="BM193" s="51"/>
      <c r="BN193" s="51"/>
      <c r="BO193" s="51"/>
      <c r="BP193" s="51"/>
      <c r="BQ193" s="51"/>
      <c r="BR193" s="51"/>
      <c r="BS193" s="51"/>
      <c r="BT193" s="51"/>
      <c r="BU193" s="51"/>
      <c r="BV193" s="51"/>
      <c r="BW193" s="51"/>
      <c r="BX193" s="51"/>
      <c r="BY193" s="51"/>
      <c r="BZ193" s="51"/>
      <c r="CA193" s="51"/>
      <c r="CB193" s="51"/>
      <c r="CC193" s="51"/>
      <c r="CD193" s="51"/>
      <c r="CE193" s="51"/>
      <c r="CF193" s="51"/>
      <c r="CG193" s="51"/>
      <c r="CH193" s="51"/>
      <c r="CI193" s="51"/>
      <c r="CJ193" s="51"/>
      <c r="CK193" s="51"/>
      <c r="CL193" s="51"/>
      <c r="CM193" s="51"/>
      <c r="CN193" s="51"/>
      <c r="CO193" s="51"/>
      <c r="CP193" s="51"/>
      <c r="CQ193" s="51"/>
      <c r="CR193" s="51"/>
      <c r="CS193" s="51"/>
      <c r="CT193" s="42" t="str">
        <f>IFERROR(('基本数据输入&amp;测算结果'!$C$19*7-AVERAGE(J193:AK193)*7-'基本数据输入&amp;测算结果'!$C$23*7)/'基本数据输入&amp;测算结果'!$C$21*'基本数据输入&amp;测算结果'!$C$22,"无数据/数据缺失")</f>
        <v>无数据/数据缺失</v>
      </c>
      <c r="CU193" s="42">
        <f>IF(CT193&lt;0,0,IF(CT193="无数据/数据缺失",0%,IF(CT193&gt;'基本数据输入&amp;测算结果'!$C$20,100%,CT193/'基本数据输入&amp;测算结果'!$C$20)))</f>
        <v>0</v>
      </c>
      <c r="CV193" s="42" t="str">
        <f>IFERROR((AVERAGE(AL193:AS193)*2-'基本数据输入&amp;测算结果'!$C$24*2)/'基本数据输入&amp;测算结果'!$C$21/'基本数据输入&amp;测算结果'!$C$22,"无数据/数据缺失")</f>
        <v>无数据/数据缺失</v>
      </c>
      <c r="CW193" s="42">
        <f>IF(CV193&lt;0,0,IF(CV193="无数据/数据缺失",0%,IF(CV193&gt;'基本数据输入&amp;测算结果'!$C$20*CU193,CU193,CV193/'基本数据输入&amp;测算结果'!$C$20*CU193)))</f>
        <v>0</v>
      </c>
      <c r="CX193" s="42" t="str">
        <f>IFERROR(('基本数据输入&amp;测算结果'!$C$19*2-AVERAGE(AT193:BA193)*2-'基本数据输入&amp;测算结果'!$C$23*2)/'基本数据输入&amp;测算结果'!$C$21*'基本数据输入&amp;测算结果'!$C$22,"无数据/数据缺失")</f>
        <v>无数据/数据缺失</v>
      </c>
      <c r="CY193" s="42">
        <f>IF(CX193&lt;0,0,IF(CX193="无数据/数据缺失",0%,IF(CX193&gt;'基本数据输入&amp;测算结果'!$C$20,100%,CX193/'基本数据输入&amp;测算结果'!$C$20)))</f>
        <v>0</v>
      </c>
      <c r="CZ193" s="42" t="str">
        <f>IFERROR((AVERAGE(BN193:CS193)*8-'基本数据输入&amp;测算结果'!$C$24*8)/'基本数据输入&amp;测算结果'!$C$21/'基本数据输入&amp;测算结果'!$C$22,"无数据/数据缺失")</f>
        <v>无数据/数据缺失</v>
      </c>
      <c r="DA193" s="42">
        <f>IF(CZ193&lt;0,0,IF(CZ193="无数据/数据缺失",0,IF('基本数据输入&amp;测算结果'!$C$20*CY193&gt;CZ193,CZ193/'基本数据输入&amp;测算结果'!$C$20*CY193,CY193)))</f>
        <v>0</v>
      </c>
      <c r="DB193" s="49">
        <f t="shared" si="10"/>
        <v>0</v>
      </c>
      <c r="DC193" s="50"/>
      <c r="DD193" s="50"/>
      <c r="DE193"/>
      <c r="DF193"/>
      <c r="DG193"/>
      <c r="DH193"/>
      <c r="DI193"/>
    </row>
    <row r="194" customHeight="1" spans="1:113">
      <c r="A194" s="54" t="s">
        <v>248</v>
      </c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51"/>
      <c r="AQ194" s="51"/>
      <c r="AR194" s="51"/>
      <c r="AS194" s="51"/>
      <c r="AT194" s="51"/>
      <c r="AU194" s="51"/>
      <c r="AV194" s="51"/>
      <c r="AW194" s="51"/>
      <c r="AX194" s="51"/>
      <c r="AY194" s="51"/>
      <c r="AZ194" s="51"/>
      <c r="BA194" s="51"/>
      <c r="BB194" s="51"/>
      <c r="BC194" s="51"/>
      <c r="BD194" s="51"/>
      <c r="BE194" s="51"/>
      <c r="BF194" s="51"/>
      <c r="BG194" s="51"/>
      <c r="BH194" s="51"/>
      <c r="BI194" s="51"/>
      <c r="BJ194" s="51"/>
      <c r="BK194" s="51"/>
      <c r="BL194" s="51"/>
      <c r="BM194" s="51"/>
      <c r="BN194" s="51"/>
      <c r="BO194" s="51"/>
      <c r="BP194" s="51"/>
      <c r="BQ194" s="51"/>
      <c r="BR194" s="51"/>
      <c r="BS194" s="51"/>
      <c r="BT194" s="51"/>
      <c r="BU194" s="51"/>
      <c r="BV194" s="51"/>
      <c r="BW194" s="51"/>
      <c r="BX194" s="51"/>
      <c r="BY194" s="51"/>
      <c r="BZ194" s="51"/>
      <c r="CA194" s="51"/>
      <c r="CB194" s="51"/>
      <c r="CC194" s="51"/>
      <c r="CD194" s="51"/>
      <c r="CE194" s="51"/>
      <c r="CF194" s="51"/>
      <c r="CG194" s="51"/>
      <c r="CH194" s="51"/>
      <c r="CI194" s="51"/>
      <c r="CJ194" s="51"/>
      <c r="CK194" s="51"/>
      <c r="CL194" s="51"/>
      <c r="CM194" s="51"/>
      <c r="CN194" s="51"/>
      <c r="CO194" s="51"/>
      <c r="CP194" s="51"/>
      <c r="CQ194" s="51"/>
      <c r="CR194" s="51"/>
      <c r="CS194" s="51"/>
      <c r="CT194" s="42" t="str">
        <f>IFERROR(('基本数据输入&amp;测算结果'!$C$19*7-AVERAGE(J194:AK194)*7-'基本数据输入&amp;测算结果'!$C$23*7)/'基本数据输入&amp;测算结果'!$C$21*'基本数据输入&amp;测算结果'!$C$22,"无数据/数据缺失")</f>
        <v>无数据/数据缺失</v>
      </c>
      <c r="CU194" s="42">
        <f>IF(CT194&lt;0,0,IF(CT194="无数据/数据缺失",0%,IF(CT194&gt;'基本数据输入&amp;测算结果'!$C$20,100%,CT194/'基本数据输入&amp;测算结果'!$C$20)))</f>
        <v>0</v>
      </c>
      <c r="CV194" s="42" t="str">
        <f>IFERROR((AVERAGE(AL194:AS194)*2-'基本数据输入&amp;测算结果'!$C$24*2)/'基本数据输入&amp;测算结果'!$C$21/'基本数据输入&amp;测算结果'!$C$22,"无数据/数据缺失")</f>
        <v>无数据/数据缺失</v>
      </c>
      <c r="CW194" s="42">
        <f>IF(CV194&lt;0,0,IF(CV194="无数据/数据缺失",0%,IF(CV194&gt;'基本数据输入&amp;测算结果'!$C$20*CU194,CU194,CV194/'基本数据输入&amp;测算结果'!$C$20*CU194)))</f>
        <v>0</v>
      </c>
      <c r="CX194" s="42" t="str">
        <f>IFERROR(('基本数据输入&amp;测算结果'!$C$19*2-AVERAGE(AT194:BA194)*2-'基本数据输入&amp;测算结果'!$C$23*2)/'基本数据输入&amp;测算结果'!$C$21*'基本数据输入&amp;测算结果'!$C$22,"无数据/数据缺失")</f>
        <v>无数据/数据缺失</v>
      </c>
      <c r="CY194" s="42">
        <f>IF(CX194&lt;0,0,IF(CX194="无数据/数据缺失",0%,IF(CX194&gt;'基本数据输入&amp;测算结果'!$C$20,100%,CX194/'基本数据输入&amp;测算结果'!$C$20)))</f>
        <v>0</v>
      </c>
      <c r="CZ194" s="42" t="str">
        <f>IFERROR((AVERAGE(BN194:CS194)*8-'基本数据输入&amp;测算结果'!$C$24*8)/'基本数据输入&amp;测算结果'!$C$21/'基本数据输入&amp;测算结果'!$C$22,"无数据/数据缺失")</f>
        <v>无数据/数据缺失</v>
      </c>
      <c r="DA194" s="42">
        <f>IF(CZ194&lt;0,0,IF(CZ194="无数据/数据缺失",0,IF('基本数据输入&amp;测算结果'!$C$20*CY194&gt;CZ194,CZ194/'基本数据输入&amp;测算结果'!$C$20*CY194,CY194)))</f>
        <v>0</v>
      </c>
      <c r="DB194" s="49">
        <f t="shared" si="10"/>
        <v>0</v>
      </c>
      <c r="DC194" s="50"/>
      <c r="DD194" s="50"/>
      <c r="DE194"/>
      <c r="DF194"/>
      <c r="DG194"/>
      <c r="DH194"/>
      <c r="DI194"/>
    </row>
    <row r="195" customHeight="1" spans="1:113">
      <c r="A195" s="54" t="s">
        <v>249</v>
      </c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51"/>
      <c r="AQ195" s="51"/>
      <c r="AR195" s="51"/>
      <c r="AS195" s="51"/>
      <c r="AT195" s="51"/>
      <c r="AU195" s="51"/>
      <c r="AV195" s="51"/>
      <c r="AW195" s="51"/>
      <c r="AX195" s="51"/>
      <c r="AY195" s="51"/>
      <c r="AZ195" s="51"/>
      <c r="BA195" s="51"/>
      <c r="BB195" s="51"/>
      <c r="BC195" s="51"/>
      <c r="BD195" s="51"/>
      <c r="BE195" s="51"/>
      <c r="BF195" s="51"/>
      <c r="BG195" s="51"/>
      <c r="BH195" s="51"/>
      <c r="BI195" s="51"/>
      <c r="BJ195" s="51"/>
      <c r="BK195" s="51"/>
      <c r="BL195" s="51"/>
      <c r="BM195" s="51"/>
      <c r="BN195" s="51"/>
      <c r="BO195" s="51"/>
      <c r="BP195" s="51"/>
      <c r="BQ195" s="51"/>
      <c r="BR195" s="51"/>
      <c r="BS195" s="51"/>
      <c r="BT195" s="51"/>
      <c r="BU195" s="51"/>
      <c r="BV195" s="51"/>
      <c r="BW195" s="51"/>
      <c r="BX195" s="51"/>
      <c r="BY195" s="51"/>
      <c r="BZ195" s="51"/>
      <c r="CA195" s="51"/>
      <c r="CB195" s="51"/>
      <c r="CC195" s="51"/>
      <c r="CD195" s="51"/>
      <c r="CE195" s="51"/>
      <c r="CF195" s="51"/>
      <c r="CG195" s="51"/>
      <c r="CH195" s="51"/>
      <c r="CI195" s="51"/>
      <c r="CJ195" s="51"/>
      <c r="CK195" s="51"/>
      <c r="CL195" s="51"/>
      <c r="CM195" s="51"/>
      <c r="CN195" s="51"/>
      <c r="CO195" s="51"/>
      <c r="CP195" s="51"/>
      <c r="CQ195" s="51"/>
      <c r="CR195" s="51"/>
      <c r="CS195" s="51"/>
      <c r="CT195" s="42" t="str">
        <f>IFERROR(('基本数据输入&amp;测算结果'!$C$19*7-AVERAGE(J195:AK195)*7-'基本数据输入&amp;测算结果'!$C$23*7)/'基本数据输入&amp;测算结果'!$C$21*'基本数据输入&amp;测算结果'!$C$22,"无数据/数据缺失")</f>
        <v>无数据/数据缺失</v>
      </c>
      <c r="CU195" s="42">
        <f>IF(CT195&lt;0,0,IF(CT195="无数据/数据缺失",0%,IF(CT195&gt;'基本数据输入&amp;测算结果'!$C$20,100%,CT195/'基本数据输入&amp;测算结果'!$C$20)))</f>
        <v>0</v>
      </c>
      <c r="CV195" s="42" t="str">
        <f>IFERROR((AVERAGE(AL195:AS195)*2-'基本数据输入&amp;测算结果'!$C$24*2)/'基本数据输入&amp;测算结果'!$C$21/'基本数据输入&amp;测算结果'!$C$22,"无数据/数据缺失")</f>
        <v>无数据/数据缺失</v>
      </c>
      <c r="CW195" s="42">
        <f>IF(CV195&lt;0,0,IF(CV195="无数据/数据缺失",0%,IF(CV195&gt;'基本数据输入&amp;测算结果'!$C$20*CU195,CU195,CV195/'基本数据输入&amp;测算结果'!$C$20*CU195)))</f>
        <v>0</v>
      </c>
      <c r="CX195" s="42" t="str">
        <f>IFERROR(('基本数据输入&amp;测算结果'!$C$19*2-AVERAGE(AT195:BA195)*2-'基本数据输入&amp;测算结果'!$C$23*2)/'基本数据输入&amp;测算结果'!$C$21*'基本数据输入&amp;测算结果'!$C$22,"无数据/数据缺失")</f>
        <v>无数据/数据缺失</v>
      </c>
      <c r="CY195" s="42">
        <f>IF(CX195&lt;0,0,IF(CX195="无数据/数据缺失",0%,IF(CX195&gt;'基本数据输入&amp;测算结果'!$C$20,100%,CX195/'基本数据输入&amp;测算结果'!$C$20)))</f>
        <v>0</v>
      </c>
      <c r="CZ195" s="42" t="str">
        <f>IFERROR((AVERAGE(BN195:CS195)*8-'基本数据输入&amp;测算结果'!$C$24*8)/'基本数据输入&amp;测算结果'!$C$21/'基本数据输入&amp;测算结果'!$C$22,"无数据/数据缺失")</f>
        <v>无数据/数据缺失</v>
      </c>
      <c r="DA195" s="42">
        <f>IF(CZ195&lt;0,0,IF(CZ195="无数据/数据缺失",0,IF('基本数据输入&amp;测算结果'!$C$20*CY195&gt;CZ195,CZ195/'基本数据输入&amp;测算结果'!$C$20*CY195,CY195)))</f>
        <v>0</v>
      </c>
      <c r="DB195" s="49">
        <f t="shared" si="10"/>
        <v>0</v>
      </c>
      <c r="DC195" s="50"/>
      <c r="DD195" s="50"/>
      <c r="DE195"/>
      <c r="DF195"/>
      <c r="DG195"/>
      <c r="DH195"/>
      <c r="DI195"/>
    </row>
    <row r="196" customHeight="1" spans="1:113">
      <c r="A196" s="54" t="s">
        <v>250</v>
      </c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51"/>
      <c r="AQ196" s="51"/>
      <c r="AR196" s="51"/>
      <c r="AS196" s="51"/>
      <c r="AT196" s="51"/>
      <c r="AU196" s="51"/>
      <c r="AV196" s="51"/>
      <c r="AW196" s="51"/>
      <c r="AX196" s="51"/>
      <c r="AY196" s="51"/>
      <c r="AZ196" s="51"/>
      <c r="BA196" s="51"/>
      <c r="BB196" s="51"/>
      <c r="BC196" s="51"/>
      <c r="BD196" s="51"/>
      <c r="BE196" s="51"/>
      <c r="BF196" s="51"/>
      <c r="BG196" s="51"/>
      <c r="BH196" s="51"/>
      <c r="BI196" s="51"/>
      <c r="BJ196" s="51"/>
      <c r="BK196" s="51"/>
      <c r="BL196" s="51"/>
      <c r="BM196" s="51"/>
      <c r="BN196" s="51"/>
      <c r="BO196" s="51"/>
      <c r="BP196" s="51"/>
      <c r="BQ196" s="51"/>
      <c r="BR196" s="51"/>
      <c r="BS196" s="51"/>
      <c r="BT196" s="51"/>
      <c r="BU196" s="51"/>
      <c r="BV196" s="51"/>
      <c r="BW196" s="51"/>
      <c r="BX196" s="51"/>
      <c r="BY196" s="51"/>
      <c r="BZ196" s="51"/>
      <c r="CA196" s="51"/>
      <c r="CB196" s="51"/>
      <c r="CC196" s="51"/>
      <c r="CD196" s="51"/>
      <c r="CE196" s="51"/>
      <c r="CF196" s="51"/>
      <c r="CG196" s="51"/>
      <c r="CH196" s="51"/>
      <c r="CI196" s="51"/>
      <c r="CJ196" s="51"/>
      <c r="CK196" s="51"/>
      <c r="CL196" s="51"/>
      <c r="CM196" s="51"/>
      <c r="CN196" s="51"/>
      <c r="CO196" s="51"/>
      <c r="CP196" s="51"/>
      <c r="CQ196" s="51"/>
      <c r="CR196" s="51"/>
      <c r="CS196" s="51"/>
      <c r="CT196" s="42" t="str">
        <f>IFERROR(('基本数据输入&amp;测算结果'!$C$19*7-AVERAGE(J196:AK196)*7-'基本数据输入&amp;测算结果'!$C$23*7)/'基本数据输入&amp;测算结果'!$C$21*'基本数据输入&amp;测算结果'!$C$22,"无数据/数据缺失")</f>
        <v>无数据/数据缺失</v>
      </c>
      <c r="CU196" s="42">
        <f>IF(CT196&lt;0,0,IF(CT196="无数据/数据缺失",0%,IF(CT196&gt;'基本数据输入&amp;测算结果'!$C$20,100%,CT196/'基本数据输入&amp;测算结果'!$C$20)))</f>
        <v>0</v>
      </c>
      <c r="CV196" s="42" t="str">
        <f>IFERROR((AVERAGE(AL196:AS196)*2-'基本数据输入&amp;测算结果'!$C$24*2)/'基本数据输入&amp;测算结果'!$C$21/'基本数据输入&amp;测算结果'!$C$22,"无数据/数据缺失")</f>
        <v>无数据/数据缺失</v>
      </c>
      <c r="CW196" s="42">
        <f>IF(CV196&lt;0,0,IF(CV196="无数据/数据缺失",0%,IF(CV196&gt;'基本数据输入&amp;测算结果'!$C$20*CU196,CU196,CV196/'基本数据输入&amp;测算结果'!$C$20*CU196)))</f>
        <v>0</v>
      </c>
      <c r="CX196" s="42" t="str">
        <f>IFERROR(('基本数据输入&amp;测算结果'!$C$19*2-AVERAGE(AT196:BA196)*2-'基本数据输入&amp;测算结果'!$C$23*2)/'基本数据输入&amp;测算结果'!$C$21*'基本数据输入&amp;测算结果'!$C$22,"无数据/数据缺失")</f>
        <v>无数据/数据缺失</v>
      </c>
      <c r="CY196" s="42">
        <f>IF(CX196&lt;0,0,IF(CX196="无数据/数据缺失",0%,IF(CX196&gt;'基本数据输入&amp;测算结果'!$C$20,100%,CX196/'基本数据输入&amp;测算结果'!$C$20)))</f>
        <v>0</v>
      </c>
      <c r="CZ196" s="42" t="str">
        <f>IFERROR((AVERAGE(BN196:CS196)*8-'基本数据输入&amp;测算结果'!$C$24*8)/'基本数据输入&amp;测算结果'!$C$21/'基本数据输入&amp;测算结果'!$C$22,"无数据/数据缺失")</f>
        <v>无数据/数据缺失</v>
      </c>
      <c r="DA196" s="42">
        <f>IF(CZ196&lt;0,0,IF(CZ196="无数据/数据缺失",0,IF('基本数据输入&amp;测算结果'!$C$20*CY196&gt;CZ196,CZ196/'基本数据输入&amp;测算结果'!$C$20*CY196,CY196)))</f>
        <v>0</v>
      </c>
      <c r="DB196" s="49">
        <f t="shared" si="10"/>
        <v>0</v>
      </c>
      <c r="DC196" s="50"/>
      <c r="DD196" s="50"/>
      <c r="DE196"/>
      <c r="DF196"/>
      <c r="DG196"/>
      <c r="DH196"/>
      <c r="DI196"/>
    </row>
    <row r="197" customHeight="1" spans="1:113">
      <c r="A197" s="48" t="s">
        <v>251</v>
      </c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51"/>
      <c r="AQ197" s="51"/>
      <c r="AR197" s="51"/>
      <c r="AS197" s="51"/>
      <c r="AT197" s="51"/>
      <c r="AU197" s="51"/>
      <c r="AV197" s="51"/>
      <c r="AW197" s="51"/>
      <c r="AX197" s="51"/>
      <c r="AY197" s="51"/>
      <c r="AZ197" s="51"/>
      <c r="BA197" s="51"/>
      <c r="BB197" s="51"/>
      <c r="BC197" s="51"/>
      <c r="BD197" s="51"/>
      <c r="BE197" s="51"/>
      <c r="BF197" s="51"/>
      <c r="BG197" s="51"/>
      <c r="BH197" s="51"/>
      <c r="BI197" s="51"/>
      <c r="BJ197" s="51"/>
      <c r="BK197" s="51"/>
      <c r="BL197" s="51"/>
      <c r="BM197" s="51"/>
      <c r="BN197" s="51"/>
      <c r="BO197" s="51"/>
      <c r="BP197" s="51"/>
      <c r="BQ197" s="51"/>
      <c r="BR197" s="51"/>
      <c r="BS197" s="51"/>
      <c r="BT197" s="51"/>
      <c r="BU197" s="51"/>
      <c r="BV197" s="51"/>
      <c r="BW197" s="51"/>
      <c r="BX197" s="51"/>
      <c r="BY197" s="51"/>
      <c r="BZ197" s="51"/>
      <c r="CA197" s="51"/>
      <c r="CB197" s="51"/>
      <c r="CC197" s="51"/>
      <c r="CD197" s="51"/>
      <c r="CE197" s="51"/>
      <c r="CF197" s="51"/>
      <c r="CG197" s="51"/>
      <c r="CH197" s="51"/>
      <c r="CI197" s="51"/>
      <c r="CJ197" s="51"/>
      <c r="CK197" s="51"/>
      <c r="CL197" s="51"/>
      <c r="CM197" s="51"/>
      <c r="CN197" s="51"/>
      <c r="CO197" s="51"/>
      <c r="CP197" s="51"/>
      <c r="CQ197" s="51"/>
      <c r="CR197" s="51"/>
      <c r="CS197" s="51"/>
      <c r="CT197" s="42" t="str">
        <f>IFERROR(('基本数据输入&amp;测算结果'!$C$19*7-AVERAGE(J197:AK197)*7-'基本数据输入&amp;测算结果'!$C$23*7)/'基本数据输入&amp;测算结果'!$C$21*'基本数据输入&amp;测算结果'!$C$22,"无数据/数据缺失")</f>
        <v>无数据/数据缺失</v>
      </c>
      <c r="CU197" s="42">
        <f>IF(CT197&lt;0,0,IF(CT197="无数据/数据缺失",0%,IF(CT197&gt;'基本数据输入&amp;测算结果'!$C$20,100%,CT197/'基本数据输入&amp;测算结果'!$C$20)))</f>
        <v>0</v>
      </c>
      <c r="CV197" s="42" t="str">
        <f>IFERROR((AVERAGE(AL197:AS197)*2-'基本数据输入&amp;测算结果'!$C$24*2)/'基本数据输入&amp;测算结果'!$C$21/'基本数据输入&amp;测算结果'!$C$22,"无数据/数据缺失")</f>
        <v>无数据/数据缺失</v>
      </c>
      <c r="CW197" s="42">
        <f>IF(CV197&lt;0,0,IF(CV197="无数据/数据缺失",0%,IF(CV197&gt;'基本数据输入&amp;测算结果'!$C$20*CU197,CU197,CV197/'基本数据输入&amp;测算结果'!$C$20*CU197)))</f>
        <v>0</v>
      </c>
      <c r="CX197" s="42" t="str">
        <f>IFERROR(('基本数据输入&amp;测算结果'!$C$19*2-AVERAGE(AT197:BA197)*2-'基本数据输入&amp;测算结果'!$C$23*2)/'基本数据输入&amp;测算结果'!$C$21*'基本数据输入&amp;测算结果'!$C$22,"无数据/数据缺失")</f>
        <v>无数据/数据缺失</v>
      </c>
      <c r="CY197" s="42">
        <f>IF(CX197&lt;0,0,IF(CX197="无数据/数据缺失",0%,IF(CX197&gt;'基本数据输入&amp;测算结果'!$C$20,100%,CX197/'基本数据输入&amp;测算结果'!$C$20)))</f>
        <v>0</v>
      </c>
      <c r="CZ197" s="42" t="str">
        <f>IFERROR((AVERAGE(BN197:CS197)*8-'基本数据输入&amp;测算结果'!$C$24*8)/'基本数据输入&amp;测算结果'!$C$21/'基本数据输入&amp;测算结果'!$C$22,"无数据/数据缺失")</f>
        <v>无数据/数据缺失</v>
      </c>
      <c r="DA197" s="42">
        <f>IF(CZ197&lt;0,0,IF(CZ197="无数据/数据缺失",0,IF('基本数据输入&amp;测算结果'!$C$20*CY197&gt;CZ197,CZ197/'基本数据输入&amp;测算结果'!$C$20*CY197,CY197)))</f>
        <v>0</v>
      </c>
      <c r="DB197" s="49">
        <f t="shared" si="10"/>
        <v>0</v>
      </c>
      <c r="DC197" s="50">
        <f>IF(DA197=0,0,IF(AVERAGE(CD197:CK197)*2&gt;'基本数据输入&amp;测算结果'!$C$20*DA197,100%,AVERAGE(CD197:CK197)*2/('基本数据输入&amp;测算结果'!$C$20*DA197)))</f>
        <v>0</v>
      </c>
      <c r="DD197" s="50"/>
      <c r="DE197"/>
      <c r="DF197"/>
      <c r="DG197"/>
      <c r="DH197"/>
      <c r="DI197"/>
    </row>
    <row r="198" customHeight="1" spans="1:113">
      <c r="A198" s="48" t="s">
        <v>252</v>
      </c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51"/>
      <c r="AQ198" s="51"/>
      <c r="AR198" s="51"/>
      <c r="AS198" s="51"/>
      <c r="AT198" s="51"/>
      <c r="AU198" s="51"/>
      <c r="AV198" s="51"/>
      <c r="AW198" s="51"/>
      <c r="AX198" s="51"/>
      <c r="AY198" s="51"/>
      <c r="AZ198" s="51"/>
      <c r="BA198" s="51"/>
      <c r="BB198" s="51"/>
      <c r="BC198" s="51"/>
      <c r="BD198" s="51"/>
      <c r="BE198" s="51"/>
      <c r="BF198" s="51"/>
      <c r="BG198" s="51"/>
      <c r="BH198" s="51"/>
      <c r="BI198" s="51"/>
      <c r="BJ198" s="51"/>
      <c r="BK198" s="51"/>
      <c r="BL198" s="51"/>
      <c r="BM198" s="51"/>
      <c r="BN198" s="51"/>
      <c r="BO198" s="51"/>
      <c r="BP198" s="51"/>
      <c r="BQ198" s="51"/>
      <c r="BR198" s="51"/>
      <c r="BS198" s="51"/>
      <c r="BT198" s="51"/>
      <c r="BU198" s="51"/>
      <c r="BV198" s="51"/>
      <c r="BW198" s="51"/>
      <c r="BX198" s="51"/>
      <c r="BY198" s="51"/>
      <c r="BZ198" s="51"/>
      <c r="CA198" s="51"/>
      <c r="CB198" s="51"/>
      <c r="CC198" s="51"/>
      <c r="CD198" s="51"/>
      <c r="CE198" s="51"/>
      <c r="CF198" s="51"/>
      <c r="CG198" s="51"/>
      <c r="CH198" s="51"/>
      <c r="CI198" s="51"/>
      <c r="CJ198" s="51"/>
      <c r="CK198" s="51"/>
      <c r="CL198" s="51"/>
      <c r="CM198" s="51"/>
      <c r="CN198" s="51"/>
      <c r="CO198" s="51"/>
      <c r="CP198" s="51"/>
      <c r="CQ198" s="51"/>
      <c r="CR198" s="51"/>
      <c r="CS198" s="51"/>
      <c r="CT198" s="42" t="str">
        <f>IFERROR(('基本数据输入&amp;测算结果'!$C$19*7-AVERAGE(J198:AK198)*7-'基本数据输入&amp;测算结果'!$C$23*7)/'基本数据输入&amp;测算结果'!$C$21*'基本数据输入&amp;测算结果'!$C$22,"无数据/数据缺失")</f>
        <v>无数据/数据缺失</v>
      </c>
      <c r="CU198" s="42">
        <f>IF(CT198&lt;0,0,IF(CT198="无数据/数据缺失",0%,IF(CT198&gt;'基本数据输入&amp;测算结果'!$C$20,100%,CT198/'基本数据输入&amp;测算结果'!$C$20)))</f>
        <v>0</v>
      </c>
      <c r="CV198" s="42" t="str">
        <f>IFERROR((AVERAGE(AL198:AS198)*2-'基本数据输入&amp;测算结果'!$C$24*2)/'基本数据输入&amp;测算结果'!$C$21/'基本数据输入&amp;测算结果'!$C$22,"无数据/数据缺失")</f>
        <v>无数据/数据缺失</v>
      </c>
      <c r="CW198" s="42">
        <f>IF(CV198&lt;0,0,IF(CV198="无数据/数据缺失",0%,IF(CV198&gt;'基本数据输入&amp;测算结果'!$C$20*CU198,CU198,CV198/'基本数据输入&amp;测算结果'!$C$20*CU198)))</f>
        <v>0</v>
      </c>
      <c r="CX198" s="42" t="str">
        <f>IFERROR(('基本数据输入&amp;测算结果'!$C$19*2-AVERAGE(AT198:BA198)*2-'基本数据输入&amp;测算结果'!$C$23*2)/'基本数据输入&amp;测算结果'!$C$21*'基本数据输入&amp;测算结果'!$C$22,"无数据/数据缺失")</f>
        <v>无数据/数据缺失</v>
      </c>
      <c r="CY198" s="42">
        <f>IF(CX198&lt;0,0,IF(CX198="无数据/数据缺失",0%,IF(CX198&gt;'基本数据输入&amp;测算结果'!$C$20,100%,CX198/'基本数据输入&amp;测算结果'!$C$20)))</f>
        <v>0</v>
      </c>
      <c r="CZ198" s="42" t="str">
        <f>IFERROR((AVERAGE(BN198:CS198)*8-'基本数据输入&amp;测算结果'!$C$24*8)/'基本数据输入&amp;测算结果'!$C$21/'基本数据输入&amp;测算结果'!$C$22,"无数据/数据缺失")</f>
        <v>无数据/数据缺失</v>
      </c>
      <c r="DA198" s="42">
        <f>IF(CZ198&lt;0,0,IF(CZ198="无数据/数据缺失",0,IF('基本数据输入&amp;测算结果'!$C$20*CY198&gt;CZ198,CZ198/'基本数据输入&amp;测算结果'!$C$20*CY198,CY198)))</f>
        <v>0</v>
      </c>
      <c r="DB198" s="49">
        <f t="shared" si="10"/>
        <v>0</v>
      </c>
      <c r="DC198" s="50">
        <f>IF(DA198=0,0,IF(AVERAGE(CD198:CK198)*2&gt;'基本数据输入&amp;测算结果'!$C$20*DA198,100%,AVERAGE(CD198:CK198)*2/('基本数据输入&amp;测算结果'!$C$20*DA198)))</f>
        <v>0</v>
      </c>
      <c r="DD198" s="50"/>
      <c r="DE198"/>
      <c r="DF198"/>
      <c r="DG198"/>
      <c r="DH198"/>
      <c r="DI198"/>
    </row>
    <row r="199" customHeight="1" spans="1:113">
      <c r="A199" s="48" t="s">
        <v>253</v>
      </c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51"/>
      <c r="AQ199" s="51"/>
      <c r="AR199" s="51"/>
      <c r="AS199" s="51"/>
      <c r="AT199" s="51"/>
      <c r="AU199" s="51"/>
      <c r="AV199" s="51"/>
      <c r="AW199" s="51"/>
      <c r="AX199" s="51"/>
      <c r="AY199" s="51"/>
      <c r="AZ199" s="51"/>
      <c r="BA199" s="51"/>
      <c r="BB199" s="51"/>
      <c r="BC199" s="51"/>
      <c r="BD199" s="51"/>
      <c r="BE199" s="51"/>
      <c r="BF199" s="51"/>
      <c r="BG199" s="51"/>
      <c r="BH199" s="51"/>
      <c r="BI199" s="51"/>
      <c r="BJ199" s="51"/>
      <c r="BK199" s="51"/>
      <c r="BL199" s="51"/>
      <c r="BM199" s="51"/>
      <c r="BN199" s="51"/>
      <c r="BO199" s="51"/>
      <c r="BP199" s="51"/>
      <c r="BQ199" s="51"/>
      <c r="BR199" s="51"/>
      <c r="BS199" s="51"/>
      <c r="BT199" s="51"/>
      <c r="BU199" s="51"/>
      <c r="BV199" s="51"/>
      <c r="BW199" s="51"/>
      <c r="BX199" s="51"/>
      <c r="BY199" s="51"/>
      <c r="BZ199" s="51"/>
      <c r="CA199" s="51"/>
      <c r="CB199" s="51"/>
      <c r="CC199" s="51"/>
      <c r="CD199" s="51"/>
      <c r="CE199" s="51"/>
      <c r="CF199" s="51"/>
      <c r="CG199" s="51"/>
      <c r="CH199" s="51"/>
      <c r="CI199" s="51"/>
      <c r="CJ199" s="51"/>
      <c r="CK199" s="51"/>
      <c r="CL199" s="51"/>
      <c r="CM199" s="51"/>
      <c r="CN199" s="51"/>
      <c r="CO199" s="51"/>
      <c r="CP199" s="51"/>
      <c r="CQ199" s="51"/>
      <c r="CR199" s="51"/>
      <c r="CS199" s="51"/>
      <c r="CT199" s="42" t="str">
        <f>IFERROR(('基本数据输入&amp;测算结果'!$C$19*7-AVERAGE(J199:AK199)*7-'基本数据输入&amp;测算结果'!$C$23*7)/'基本数据输入&amp;测算结果'!$C$21*'基本数据输入&amp;测算结果'!$C$22,"无数据/数据缺失")</f>
        <v>无数据/数据缺失</v>
      </c>
      <c r="CU199" s="42">
        <f>IF(CT199&lt;0,0,IF(CT199="无数据/数据缺失",0%,IF(CT199&gt;'基本数据输入&amp;测算结果'!$C$20,100%,CT199/'基本数据输入&amp;测算结果'!$C$20)))</f>
        <v>0</v>
      </c>
      <c r="CV199" s="42" t="str">
        <f>IFERROR((AVERAGE(AL199:AS199)*2-'基本数据输入&amp;测算结果'!$C$24*2)/'基本数据输入&amp;测算结果'!$C$21/'基本数据输入&amp;测算结果'!$C$22,"无数据/数据缺失")</f>
        <v>无数据/数据缺失</v>
      </c>
      <c r="CW199" s="42">
        <f>IF(CV199&lt;0,0,IF(CV199="无数据/数据缺失",0%,IF(CV199&gt;'基本数据输入&amp;测算结果'!$C$20*CU199,CU199,CV199/'基本数据输入&amp;测算结果'!$C$20*CU199)))</f>
        <v>0</v>
      </c>
      <c r="CX199" s="42" t="str">
        <f>IFERROR(('基本数据输入&amp;测算结果'!$C$19*2-AVERAGE(AT199:BA199)*2-'基本数据输入&amp;测算结果'!$C$23*2)/'基本数据输入&amp;测算结果'!$C$21*'基本数据输入&amp;测算结果'!$C$22,"无数据/数据缺失")</f>
        <v>无数据/数据缺失</v>
      </c>
      <c r="CY199" s="42">
        <f>IF(CX199&lt;0,0,IF(CX199="无数据/数据缺失",0%,IF(CX199&gt;'基本数据输入&amp;测算结果'!$C$20,100%,CX199/'基本数据输入&amp;测算结果'!$C$20)))</f>
        <v>0</v>
      </c>
      <c r="CZ199" s="42" t="str">
        <f>IFERROR((AVERAGE(BN199:CS199)*8-'基本数据输入&amp;测算结果'!$C$24*8)/'基本数据输入&amp;测算结果'!$C$21/'基本数据输入&amp;测算结果'!$C$22,"无数据/数据缺失")</f>
        <v>无数据/数据缺失</v>
      </c>
      <c r="DA199" s="42">
        <f>IF(CZ199&lt;0,0,IF(CZ199="无数据/数据缺失",0,IF('基本数据输入&amp;测算结果'!$C$20*CY199&gt;CZ199,CZ199/'基本数据输入&amp;测算结果'!$C$20*CY199,CY199)))</f>
        <v>0</v>
      </c>
      <c r="DB199" s="49">
        <f t="shared" si="10"/>
        <v>0</v>
      </c>
      <c r="DC199" s="50">
        <f>IF(DA199=0,0,IF(AVERAGE(CD199:CK199)*2&gt;'基本数据输入&amp;测算结果'!$C$20*DA199,100%,AVERAGE(CD199:CK199)*2/('基本数据输入&amp;测算结果'!$C$20*DA199)))</f>
        <v>0</v>
      </c>
      <c r="DD199" s="50"/>
      <c r="DE199"/>
      <c r="DF199"/>
      <c r="DG199"/>
      <c r="DH199"/>
      <c r="DI199"/>
    </row>
    <row r="200" customHeight="1" spans="1:113">
      <c r="A200" s="48" t="s">
        <v>254</v>
      </c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51"/>
      <c r="AQ200" s="51"/>
      <c r="AR200" s="51"/>
      <c r="AS200" s="51"/>
      <c r="AT200" s="51"/>
      <c r="AU200" s="51"/>
      <c r="AV200" s="51"/>
      <c r="AW200" s="51"/>
      <c r="AX200" s="51"/>
      <c r="AY200" s="51"/>
      <c r="AZ200" s="51"/>
      <c r="BA200" s="51"/>
      <c r="BB200" s="51"/>
      <c r="BC200" s="51"/>
      <c r="BD200" s="51"/>
      <c r="BE200" s="51"/>
      <c r="BF200" s="51"/>
      <c r="BG200" s="51"/>
      <c r="BH200" s="51"/>
      <c r="BI200" s="51"/>
      <c r="BJ200" s="51"/>
      <c r="BK200" s="51"/>
      <c r="BL200" s="51"/>
      <c r="BM200" s="51"/>
      <c r="BN200" s="51"/>
      <c r="BO200" s="51"/>
      <c r="BP200" s="51"/>
      <c r="BQ200" s="51"/>
      <c r="BR200" s="51"/>
      <c r="BS200" s="51"/>
      <c r="BT200" s="51"/>
      <c r="BU200" s="51"/>
      <c r="BV200" s="51"/>
      <c r="BW200" s="51"/>
      <c r="BX200" s="51"/>
      <c r="BY200" s="51"/>
      <c r="BZ200" s="51"/>
      <c r="CA200" s="51"/>
      <c r="CB200" s="51"/>
      <c r="CC200" s="51"/>
      <c r="CD200" s="51"/>
      <c r="CE200" s="51"/>
      <c r="CF200" s="51"/>
      <c r="CG200" s="51"/>
      <c r="CH200" s="51"/>
      <c r="CI200" s="51"/>
      <c r="CJ200" s="51"/>
      <c r="CK200" s="51"/>
      <c r="CL200" s="51"/>
      <c r="CM200" s="51"/>
      <c r="CN200" s="51"/>
      <c r="CO200" s="51"/>
      <c r="CP200" s="51"/>
      <c r="CQ200" s="51"/>
      <c r="CR200" s="51"/>
      <c r="CS200" s="51"/>
      <c r="CT200" s="42" t="str">
        <f>IFERROR(('基本数据输入&amp;测算结果'!$C$19*7-AVERAGE(J200:AK200)*7-'基本数据输入&amp;测算结果'!$C$23*7)/'基本数据输入&amp;测算结果'!$C$21*'基本数据输入&amp;测算结果'!$C$22,"无数据/数据缺失")</f>
        <v>无数据/数据缺失</v>
      </c>
      <c r="CU200" s="42">
        <f>IF(CT200&lt;0,0,IF(CT200="无数据/数据缺失",0%,IF(CT200&gt;'基本数据输入&amp;测算结果'!$C$20,100%,CT200/'基本数据输入&amp;测算结果'!$C$20)))</f>
        <v>0</v>
      </c>
      <c r="CV200" s="42" t="str">
        <f>IFERROR((AVERAGE(AL200:AS200)*2-'基本数据输入&amp;测算结果'!$C$24*2)/'基本数据输入&amp;测算结果'!$C$21/'基本数据输入&amp;测算结果'!$C$22,"无数据/数据缺失")</f>
        <v>无数据/数据缺失</v>
      </c>
      <c r="CW200" s="42">
        <f>IF(CV200&lt;0,0,IF(CV200="无数据/数据缺失",0%,IF(CV200&gt;'基本数据输入&amp;测算结果'!$C$20*CU200,CU200,CV200/'基本数据输入&amp;测算结果'!$C$20*CU200)))</f>
        <v>0</v>
      </c>
      <c r="CX200" s="42" t="str">
        <f>IFERROR(('基本数据输入&amp;测算结果'!$C$19*2-AVERAGE(AT200:BA200)*2-'基本数据输入&amp;测算结果'!$C$23*2)/'基本数据输入&amp;测算结果'!$C$21*'基本数据输入&amp;测算结果'!$C$22,"无数据/数据缺失")</f>
        <v>无数据/数据缺失</v>
      </c>
      <c r="CY200" s="42">
        <f>IF(CX200&lt;0,0,IF(CX200="无数据/数据缺失",0%,IF(CX200&gt;'基本数据输入&amp;测算结果'!$C$20,100%,CX200/'基本数据输入&amp;测算结果'!$C$20)))</f>
        <v>0</v>
      </c>
      <c r="CZ200" s="42" t="str">
        <f>IFERROR((AVERAGE(BN200:CS200)*8-'基本数据输入&amp;测算结果'!$C$24*8)/'基本数据输入&amp;测算结果'!$C$21/'基本数据输入&amp;测算结果'!$C$22,"无数据/数据缺失")</f>
        <v>无数据/数据缺失</v>
      </c>
      <c r="DA200" s="42">
        <f>IF(CZ200&lt;0,0,IF(CZ200="无数据/数据缺失",0,IF('基本数据输入&amp;测算结果'!$C$20*CY200&gt;CZ200,CZ200/'基本数据输入&amp;测算结果'!$C$20*CY200,CY200)))</f>
        <v>0</v>
      </c>
      <c r="DB200" s="49">
        <f t="shared" si="10"/>
        <v>0</v>
      </c>
      <c r="DC200" s="50">
        <f>IF(DA200=0,0,IF(AVERAGE(CD200:CK200)*2&gt;'基本数据输入&amp;测算结果'!$C$20*DA200,100%,AVERAGE(CD200:CK200)*2/('基本数据输入&amp;测算结果'!$C$20*DA200)))</f>
        <v>0</v>
      </c>
      <c r="DD200" s="50"/>
      <c r="DE200"/>
      <c r="DF200"/>
      <c r="DG200"/>
      <c r="DH200"/>
      <c r="DI200"/>
    </row>
    <row r="201" customHeight="1" spans="1:113">
      <c r="A201" s="48" t="s">
        <v>255</v>
      </c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51"/>
      <c r="AQ201" s="51"/>
      <c r="AR201" s="51"/>
      <c r="AS201" s="51"/>
      <c r="AT201" s="51"/>
      <c r="AU201" s="51"/>
      <c r="AV201" s="51"/>
      <c r="AW201" s="51"/>
      <c r="AX201" s="51"/>
      <c r="AY201" s="51"/>
      <c r="AZ201" s="51"/>
      <c r="BA201" s="51"/>
      <c r="BB201" s="51"/>
      <c r="BC201" s="51"/>
      <c r="BD201" s="51"/>
      <c r="BE201" s="51"/>
      <c r="BF201" s="51"/>
      <c r="BG201" s="51"/>
      <c r="BH201" s="51"/>
      <c r="BI201" s="51"/>
      <c r="BJ201" s="51"/>
      <c r="BK201" s="51"/>
      <c r="BL201" s="51"/>
      <c r="BM201" s="51"/>
      <c r="BN201" s="51"/>
      <c r="BO201" s="51"/>
      <c r="BP201" s="51"/>
      <c r="BQ201" s="51"/>
      <c r="BR201" s="51"/>
      <c r="BS201" s="51"/>
      <c r="BT201" s="51"/>
      <c r="BU201" s="51"/>
      <c r="BV201" s="51"/>
      <c r="BW201" s="51"/>
      <c r="BX201" s="51"/>
      <c r="BY201" s="51"/>
      <c r="BZ201" s="51"/>
      <c r="CA201" s="51"/>
      <c r="CB201" s="51"/>
      <c r="CC201" s="51"/>
      <c r="CD201" s="51"/>
      <c r="CE201" s="51"/>
      <c r="CF201" s="51"/>
      <c r="CG201" s="51"/>
      <c r="CH201" s="51"/>
      <c r="CI201" s="51"/>
      <c r="CJ201" s="51"/>
      <c r="CK201" s="51"/>
      <c r="CL201" s="51"/>
      <c r="CM201" s="51"/>
      <c r="CN201" s="51"/>
      <c r="CO201" s="51"/>
      <c r="CP201" s="51"/>
      <c r="CQ201" s="51"/>
      <c r="CR201" s="51"/>
      <c r="CS201" s="51"/>
      <c r="CT201" s="42" t="str">
        <f>IFERROR(('基本数据输入&amp;测算结果'!$C$19*7-AVERAGE(J201:AK201)*7-'基本数据输入&amp;测算结果'!$C$23*7)/'基本数据输入&amp;测算结果'!$C$21*'基本数据输入&amp;测算结果'!$C$22,"无数据/数据缺失")</f>
        <v>无数据/数据缺失</v>
      </c>
      <c r="CU201" s="42">
        <f>IF(CT201&lt;0,0,IF(CT201="无数据/数据缺失",0%,IF(CT201&gt;'基本数据输入&amp;测算结果'!$C$20,100%,CT201/'基本数据输入&amp;测算结果'!$C$20)))</f>
        <v>0</v>
      </c>
      <c r="CV201" s="42" t="str">
        <f>IFERROR((AVERAGE(AL201:AS201)*2-'基本数据输入&amp;测算结果'!$C$24*2)/'基本数据输入&amp;测算结果'!$C$21/'基本数据输入&amp;测算结果'!$C$22,"无数据/数据缺失")</f>
        <v>无数据/数据缺失</v>
      </c>
      <c r="CW201" s="42">
        <f>IF(CV201&lt;0,0,IF(CV201="无数据/数据缺失",0%,IF(CV201&gt;'基本数据输入&amp;测算结果'!$C$20*CU201,CU201,CV201/'基本数据输入&amp;测算结果'!$C$20*CU201)))</f>
        <v>0</v>
      </c>
      <c r="CX201" s="42" t="str">
        <f>IFERROR(('基本数据输入&amp;测算结果'!$C$19*2-AVERAGE(AT201:BA201)*2-'基本数据输入&amp;测算结果'!$C$23*2)/'基本数据输入&amp;测算结果'!$C$21*'基本数据输入&amp;测算结果'!$C$22,"无数据/数据缺失")</f>
        <v>无数据/数据缺失</v>
      </c>
      <c r="CY201" s="42">
        <f>IF(CX201&lt;0,0,IF(CX201="无数据/数据缺失",0%,IF(CX201&gt;'基本数据输入&amp;测算结果'!$C$20,100%,CX201/'基本数据输入&amp;测算结果'!$C$20)))</f>
        <v>0</v>
      </c>
      <c r="CZ201" s="42" t="str">
        <f>IFERROR((AVERAGE(BN201:CS201)*8-'基本数据输入&amp;测算结果'!$C$24*8)/'基本数据输入&amp;测算结果'!$C$21/'基本数据输入&amp;测算结果'!$C$22,"无数据/数据缺失")</f>
        <v>无数据/数据缺失</v>
      </c>
      <c r="DA201" s="42">
        <f>IF(CZ201&lt;0,0,IF(CZ201="无数据/数据缺失",0,IF('基本数据输入&amp;测算结果'!$C$20*CY201&gt;CZ201,CZ201/'基本数据输入&amp;测算结果'!$C$20*CY201,CY201)))</f>
        <v>0</v>
      </c>
      <c r="DB201" s="49">
        <f t="shared" si="10"/>
        <v>0</v>
      </c>
      <c r="DC201" s="50">
        <f>IF(DA201=0,0,IF(AVERAGE(CD201:CK201)*2&gt;'基本数据输入&amp;测算结果'!$C$20*DA201,100%,AVERAGE(CD201:CK201)*2/('基本数据输入&amp;测算结果'!$C$20*DA201)))</f>
        <v>0</v>
      </c>
      <c r="DD201" s="50"/>
      <c r="DE201"/>
      <c r="DF201"/>
      <c r="DG201"/>
      <c r="DH201"/>
      <c r="DI201"/>
    </row>
    <row r="202" customHeight="1" spans="1:113">
      <c r="A202" s="48" t="s">
        <v>256</v>
      </c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51"/>
      <c r="AQ202" s="51"/>
      <c r="AR202" s="51"/>
      <c r="AS202" s="51"/>
      <c r="AT202" s="51"/>
      <c r="AU202" s="51"/>
      <c r="AV202" s="51"/>
      <c r="AW202" s="51"/>
      <c r="AX202" s="51"/>
      <c r="AY202" s="51"/>
      <c r="AZ202" s="51"/>
      <c r="BA202" s="51"/>
      <c r="BB202" s="51"/>
      <c r="BC202" s="51"/>
      <c r="BD202" s="51"/>
      <c r="BE202" s="51"/>
      <c r="BF202" s="51"/>
      <c r="BG202" s="51"/>
      <c r="BH202" s="51"/>
      <c r="BI202" s="51"/>
      <c r="BJ202" s="51"/>
      <c r="BK202" s="51"/>
      <c r="BL202" s="51"/>
      <c r="BM202" s="51"/>
      <c r="BN202" s="51"/>
      <c r="BO202" s="51"/>
      <c r="BP202" s="51"/>
      <c r="BQ202" s="51"/>
      <c r="BR202" s="51"/>
      <c r="BS202" s="51"/>
      <c r="BT202" s="51"/>
      <c r="BU202" s="51"/>
      <c r="BV202" s="51"/>
      <c r="BW202" s="51"/>
      <c r="BX202" s="51"/>
      <c r="BY202" s="51"/>
      <c r="BZ202" s="51"/>
      <c r="CA202" s="51"/>
      <c r="CB202" s="51"/>
      <c r="CC202" s="51"/>
      <c r="CD202" s="51"/>
      <c r="CE202" s="51"/>
      <c r="CF202" s="51"/>
      <c r="CG202" s="51"/>
      <c r="CH202" s="51"/>
      <c r="CI202" s="51"/>
      <c r="CJ202" s="51"/>
      <c r="CK202" s="51"/>
      <c r="CL202" s="51"/>
      <c r="CM202" s="51"/>
      <c r="CN202" s="51"/>
      <c r="CO202" s="51"/>
      <c r="CP202" s="51"/>
      <c r="CQ202" s="51"/>
      <c r="CR202" s="51"/>
      <c r="CS202" s="51"/>
      <c r="CT202" s="42" t="str">
        <f>IFERROR(('基本数据输入&amp;测算结果'!$C$19*7-AVERAGE(J202:AK202)*7-'基本数据输入&amp;测算结果'!$C$23*7)/'基本数据输入&amp;测算结果'!$C$21*'基本数据输入&amp;测算结果'!$C$22,"无数据/数据缺失")</f>
        <v>无数据/数据缺失</v>
      </c>
      <c r="CU202" s="42">
        <f>IF(CT202&lt;0,0,IF(CT202="无数据/数据缺失",0%,IF(CT202&gt;'基本数据输入&amp;测算结果'!$C$20,100%,CT202/'基本数据输入&amp;测算结果'!$C$20)))</f>
        <v>0</v>
      </c>
      <c r="CV202" s="42" t="str">
        <f>IFERROR((AVERAGE(AL202:AS202)*2-'基本数据输入&amp;测算结果'!$C$24*2)/'基本数据输入&amp;测算结果'!$C$21/'基本数据输入&amp;测算结果'!$C$22,"无数据/数据缺失")</f>
        <v>无数据/数据缺失</v>
      </c>
      <c r="CW202" s="42">
        <f>IF(CV202&lt;0,0,IF(CV202="无数据/数据缺失",0%,IF(CV202&gt;'基本数据输入&amp;测算结果'!$C$20*CU202,CU202,CV202/'基本数据输入&amp;测算结果'!$C$20*CU202)))</f>
        <v>0</v>
      </c>
      <c r="CX202" s="42" t="str">
        <f>IFERROR(('基本数据输入&amp;测算结果'!$C$19*2-AVERAGE(AT202:BA202)*2-'基本数据输入&amp;测算结果'!$C$23*2)/'基本数据输入&amp;测算结果'!$C$21*'基本数据输入&amp;测算结果'!$C$22,"无数据/数据缺失")</f>
        <v>无数据/数据缺失</v>
      </c>
      <c r="CY202" s="42">
        <f>IF(CX202&lt;0,0,IF(CX202="无数据/数据缺失",0%,IF(CX202&gt;'基本数据输入&amp;测算结果'!$C$20,100%,CX202/'基本数据输入&amp;测算结果'!$C$20)))</f>
        <v>0</v>
      </c>
      <c r="CZ202" s="42" t="str">
        <f>IFERROR((AVERAGE(BN202:CS202)*8-'基本数据输入&amp;测算结果'!$C$24*8)/'基本数据输入&amp;测算结果'!$C$21/'基本数据输入&amp;测算结果'!$C$22,"无数据/数据缺失")</f>
        <v>无数据/数据缺失</v>
      </c>
      <c r="DA202" s="42">
        <f>IF(CZ202&lt;0,0,IF(CZ202="无数据/数据缺失",0,IF('基本数据输入&amp;测算结果'!$C$20*CY202&gt;CZ202,CZ202/'基本数据输入&amp;测算结果'!$C$20*CY202,CY202)))</f>
        <v>0</v>
      </c>
      <c r="DB202" s="49">
        <f t="shared" si="10"/>
        <v>0</v>
      </c>
      <c r="DC202" s="50">
        <f>IF(DA202=0,0,IF(AVERAGE(CD202:CK202)*2&gt;'基本数据输入&amp;测算结果'!$C$20*DA202,100%,AVERAGE(CD202:CK202)*2/('基本数据输入&amp;测算结果'!$C$20*DA202)))</f>
        <v>0</v>
      </c>
      <c r="DD202" s="50"/>
      <c r="DE202"/>
      <c r="DF202"/>
      <c r="DG202"/>
      <c r="DH202"/>
      <c r="DI202"/>
    </row>
    <row r="203" customHeight="1" spans="1:113">
      <c r="A203" s="48" t="s">
        <v>257</v>
      </c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51"/>
      <c r="AQ203" s="51"/>
      <c r="AR203" s="51"/>
      <c r="AS203" s="51"/>
      <c r="AT203" s="51"/>
      <c r="AU203" s="51"/>
      <c r="AV203" s="51"/>
      <c r="AW203" s="51"/>
      <c r="AX203" s="51"/>
      <c r="AY203" s="51"/>
      <c r="AZ203" s="51"/>
      <c r="BA203" s="51"/>
      <c r="BB203" s="51"/>
      <c r="BC203" s="51"/>
      <c r="BD203" s="51"/>
      <c r="BE203" s="51"/>
      <c r="BF203" s="51"/>
      <c r="BG203" s="51"/>
      <c r="BH203" s="51"/>
      <c r="BI203" s="51"/>
      <c r="BJ203" s="51"/>
      <c r="BK203" s="51"/>
      <c r="BL203" s="51"/>
      <c r="BM203" s="51"/>
      <c r="BN203" s="51"/>
      <c r="BO203" s="51"/>
      <c r="BP203" s="51"/>
      <c r="BQ203" s="51"/>
      <c r="BR203" s="51"/>
      <c r="BS203" s="51"/>
      <c r="BT203" s="51"/>
      <c r="BU203" s="51"/>
      <c r="BV203" s="51"/>
      <c r="BW203" s="51"/>
      <c r="BX203" s="51"/>
      <c r="BY203" s="51"/>
      <c r="BZ203" s="51"/>
      <c r="CA203" s="51"/>
      <c r="CB203" s="51"/>
      <c r="CC203" s="51"/>
      <c r="CD203" s="51"/>
      <c r="CE203" s="51"/>
      <c r="CF203" s="51"/>
      <c r="CG203" s="51"/>
      <c r="CH203" s="51"/>
      <c r="CI203" s="51"/>
      <c r="CJ203" s="51"/>
      <c r="CK203" s="51"/>
      <c r="CL203" s="51"/>
      <c r="CM203" s="51"/>
      <c r="CN203" s="51"/>
      <c r="CO203" s="51"/>
      <c r="CP203" s="51"/>
      <c r="CQ203" s="51"/>
      <c r="CR203" s="51"/>
      <c r="CS203" s="51"/>
      <c r="CT203" s="42" t="str">
        <f>IFERROR(('基本数据输入&amp;测算结果'!$C$19*7-AVERAGE(J203:AK203)*7-'基本数据输入&amp;测算结果'!$C$23*7)/'基本数据输入&amp;测算结果'!$C$21*'基本数据输入&amp;测算结果'!$C$22,"无数据/数据缺失")</f>
        <v>无数据/数据缺失</v>
      </c>
      <c r="CU203" s="42">
        <f>IF(CT203&lt;0,0,IF(CT203="无数据/数据缺失",0%,IF(CT203&gt;'基本数据输入&amp;测算结果'!$C$20,100%,CT203/'基本数据输入&amp;测算结果'!$C$20)))</f>
        <v>0</v>
      </c>
      <c r="CV203" s="42" t="str">
        <f>IFERROR((AVERAGE(AL203:AS203)*2-'基本数据输入&amp;测算结果'!$C$24*2)/'基本数据输入&amp;测算结果'!$C$21/'基本数据输入&amp;测算结果'!$C$22,"无数据/数据缺失")</f>
        <v>无数据/数据缺失</v>
      </c>
      <c r="CW203" s="42">
        <f>IF(CV203&lt;0,0,IF(CV203="无数据/数据缺失",0%,IF(CV203&gt;'基本数据输入&amp;测算结果'!$C$20*CU203,CU203,CV203/'基本数据输入&amp;测算结果'!$C$20*CU203)))</f>
        <v>0</v>
      </c>
      <c r="CX203" s="42" t="str">
        <f>IFERROR(('基本数据输入&amp;测算结果'!$C$19*2-AVERAGE(AT203:BA203)*2-'基本数据输入&amp;测算结果'!$C$23*2)/'基本数据输入&amp;测算结果'!$C$21*'基本数据输入&amp;测算结果'!$C$22,"无数据/数据缺失")</f>
        <v>无数据/数据缺失</v>
      </c>
      <c r="CY203" s="42">
        <f>IF(CX203&lt;0,0,IF(CX203="无数据/数据缺失",0%,IF(CX203&gt;'基本数据输入&amp;测算结果'!$C$20,100%,CX203/'基本数据输入&amp;测算结果'!$C$20)))</f>
        <v>0</v>
      </c>
      <c r="CZ203" s="42" t="str">
        <f>IFERROR((AVERAGE(BN203:CS203)*8-'基本数据输入&amp;测算结果'!$C$24*8)/'基本数据输入&amp;测算结果'!$C$21/'基本数据输入&amp;测算结果'!$C$22,"无数据/数据缺失")</f>
        <v>无数据/数据缺失</v>
      </c>
      <c r="DA203" s="42">
        <f>IF(CZ203&lt;0,0,IF(CZ203="无数据/数据缺失",0,IF('基本数据输入&amp;测算结果'!$C$20*CY203&gt;CZ203,CZ203/'基本数据输入&amp;测算结果'!$C$20*CY203,CY203)))</f>
        <v>0</v>
      </c>
      <c r="DB203" s="49">
        <f t="shared" si="10"/>
        <v>0</v>
      </c>
      <c r="DC203" s="50">
        <f>IF(DA203=0,0,IF(AVERAGE(CD203:CK203)*2&gt;'基本数据输入&amp;测算结果'!$C$20*DA203,100%,AVERAGE(CD203:CK203)*2/('基本数据输入&amp;测算结果'!$C$20*DA203)))</f>
        <v>0</v>
      </c>
      <c r="DD203" s="50"/>
      <c r="DE203"/>
      <c r="DF203"/>
      <c r="DG203"/>
      <c r="DH203"/>
      <c r="DI203"/>
    </row>
    <row r="204" customHeight="1" spans="1:113">
      <c r="A204" s="48" t="s">
        <v>258</v>
      </c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51"/>
      <c r="AQ204" s="51"/>
      <c r="AR204" s="51"/>
      <c r="AS204" s="51"/>
      <c r="AT204" s="51"/>
      <c r="AU204" s="51"/>
      <c r="AV204" s="51"/>
      <c r="AW204" s="51"/>
      <c r="AX204" s="51"/>
      <c r="AY204" s="51"/>
      <c r="AZ204" s="51"/>
      <c r="BA204" s="51"/>
      <c r="BB204" s="51"/>
      <c r="BC204" s="51"/>
      <c r="BD204" s="51"/>
      <c r="BE204" s="51"/>
      <c r="BF204" s="51"/>
      <c r="BG204" s="51"/>
      <c r="BH204" s="51"/>
      <c r="BI204" s="51"/>
      <c r="BJ204" s="51"/>
      <c r="BK204" s="51"/>
      <c r="BL204" s="51"/>
      <c r="BM204" s="51"/>
      <c r="BN204" s="51"/>
      <c r="BO204" s="51"/>
      <c r="BP204" s="51"/>
      <c r="BQ204" s="51"/>
      <c r="BR204" s="51"/>
      <c r="BS204" s="51"/>
      <c r="BT204" s="51"/>
      <c r="BU204" s="51"/>
      <c r="BV204" s="51"/>
      <c r="BW204" s="51"/>
      <c r="BX204" s="51"/>
      <c r="BY204" s="51"/>
      <c r="BZ204" s="51"/>
      <c r="CA204" s="51"/>
      <c r="CB204" s="51"/>
      <c r="CC204" s="51"/>
      <c r="CD204" s="51"/>
      <c r="CE204" s="51"/>
      <c r="CF204" s="51"/>
      <c r="CG204" s="51"/>
      <c r="CH204" s="51"/>
      <c r="CI204" s="51"/>
      <c r="CJ204" s="51"/>
      <c r="CK204" s="51"/>
      <c r="CL204" s="51"/>
      <c r="CM204" s="51"/>
      <c r="CN204" s="51"/>
      <c r="CO204" s="51"/>
      <c r="CP204" s="51"/>
      <c r="CQ204" s="51"/>
      <c r="CR204" s="51"/>
      <c r="CS204" s="51"/>
      <c r="CT204" s="42" t="str">
        <f>IFERROR(('基本数据输入&amp;测算结果'!$C$19*7-AVERAGE(J204:AK204)*7-'基本数据输入&amp;测算结果'!$C$23*7)/'基本数据输入&amp;测算结果'!$C$21*'基本数据输入&amp;测算结果'!$C$22,"无数据/数据缺失")</f>
        <v>无数据/数据缺失</v>
      </c>
      <c r="CU204" s="42">
        <f>IF(CT204&lt;0,0,IF(CT204="无数据/数据缺失",0%,IF(CT204&gt;'基本数据输入&amp;测算结果'!$C$20,100%,CT204/'基本数据输入&amp;测算结果'!$C$20)))</f>
        <v>0</v>
      </c>
      <c r="CV204" s="42" t="str">
        <f>IFERROR((AVERAGE(AL204:AS204)*2-'基本数据输入&amp;测算结果'!$C$24*2)/'基本数据输入&amp;测算结果'!$C$21/'基本数据输入&amp;测算结果'!$C$22,"无数据/数据缺失")</f>
        <v>无数据/数据缺失</v>
      </c>
      <c r="CW204" s="42">
        <f>IF(CV204&lt;0,0,IF(CV204="无数据/数据缺失",0%,IF(CV204&gt;'基本数据输入&amp;测算结果'!$C$20*CU204,CU204,CV204/'基本数据输入&amp;测算结果'!$C$20*CU204)))</f>
        <v>0</v>
      </c>
      <c r="CX204" s="42" t="str">
        <f>IFERROR(('基本数据输入&amp;测算结果'!$C$19*2-AVERAGE(AT204:BA204)*2-'基本数据输入&amp;测算结果'!$C$23*2)/'基本数据输入&amp;测算结果'!$C$21*'基本数据输入&amp;测算结果'!$C$22,"无数据/数据缺失")</f>
        <v>无数据/数据缺失</v>
      </c>
      <c r="CY204" s="42">
        <f>IF(CX204&lt;0,0,IF(CX204="无数据/数据缺失",0%,IF(CX204&gt;'基本数据输入&amp;测算结果'!$C$20,100%,CX204/'基本数据输入&amp;测算结果'!$C$20)))</f>
        <v>0</v>
      </c>
      <c r="CZ204" s="42" t="str">
        <f>IFERROR((AVERAGE(BN204:CS204)*8-'基本数据输入&amp;测算结果'!$C$24*8)/'基本数据输入&amp;测算结果'!$C$21/'基本数据输入&amp;测算结果'!$C$22,"无数据/数据缺失")</f>
        <v>无数据/数据缺失</v>
      </c>
      <c r="DA204" s="42">
        <f>IF(CZ204&lt;0,0,IF(CZ204="无数据/数据缺失",0,IF('基本数据输入&amp;测算结果'!$C$20*CY204&gt;CZ204,CZ204/'基本数据输入&amp;测算结果'!$C$20*CY204,CY204)))</f>
        <v>0</v>
      </c>
      <c r="DB204" s="49">
        <f t="shared" si="10"/>
        <v>0</v>
      </c>
      <c r="DC204" s="50">
        <f>IF(DA204=0,0,IF(AVERAGE(CD204:CK204)*2&gt;'基本数据输入&amp;测算结果'!$C$20*DA204,100%,AVERAGE(CD204:CK204)*2/('基本数据输入&amp;测算结果'!$C$20*DA204)))</f>
        <v>0</v>
      </c>
      <c r="DD204" s="50"/>
      <c r="DE204"/>
      <c r="DF204"/>
      <c r="DG204"/>
      <c r="DH204"/>
      <c r="DI204"/>
    </row>
    <row r="205" customHeight="1" spans="1:113">
      <c r="A205" s="48" t="s">
        <v>259</v>
      </c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51"/>
      <c r="AQ205" s="51"/>
      <c r="AR205" s="51"/>
      <c r="AS205" s="51"/>
      <c r="AT205" s="51"/>
      <c r="AU205" s="51"/>
      <c r="AV205" s="51"/>
      <c r="AW205" s="51"/>
      <c r="AX205" s="51"/>
      <c r="AY205" s="51"/>
      <c r="AZ205" s="51"/>
      <c r="BA205" s="51"/>
      <c r="BB205" s="51"/>
      <c r="BC205" s="51"/>
      <c r="BD205" s="51"/>
      <c r="BE205" s="51"/>
      <c r="BF205" s="51"/>
      <c r="BG205" s="51"/>
      <c r="BH205" s="51"/>
      <c r="BI205" s="51"/>
      <c r="BJ205" s="51"/>
      <c r="BK205" s="51"/>
      <c r="BL205" s="51"/>
      <c r="BM205" s="51"/>
      <c r="BN205" s="51"/>
      <c r="BO205" s="51"/>
      <c r="BP205" s="51"/>
      <c r="BQ205" s="51"/>
      <c r="BR205" s="51"/>
      <c r="BS205" s="51"/>
      <c r="BT205" s="51"/>
      <c r="BU205" s="51"/>
      <c r="BV205" s="51"/>
      <c r="BW205" s="51"/>
      <c r="BX205" s="51"/>
      <c r="BY205" s="51"/>
      <c r="BZ205" s="51"/>
      <c r="CA205" s="51"/>
      <c r="CB205" s="51"/>
      <c r="CC205" s="51"/>
      <c r="CD205" s="51"/>
      <c r="CE205" s="51"/>
      <c r="CF205" s="51"/>
      <c r="CG205" s="51"/>
      <c r="CH205" s="51"/>
      <c r="CI205" s="51"/>
      <c r="CJ205" s="51"/>
      <c r="CK205" s="51"/>
      <c r="CL205" s="51"/>
      <c r="CM205" s="51"/>
      <c r="CN205" s="51"/>
      <c r="CO205" s="51"/>
      <c r="CP205" s="51"/>
      <c r="CQ205" s="51"/>
      <c r="CR205" s="51"/>
      <c r="CS205" s="51"/>
      <c r="CT205" s="42" t="str">
        <f>IFERROR(('基本数据输入&amp;测算结果'!$C$19*7-AVERAGE(J205:AK205)*7-'基本数据输入&amp;测算结果'!$C$23*7)/'基本数据输入&amp;测算结果'!$C$21*'基本数据输入&amp;测算结果'!$C$22,"无数据/数据缺失")</f>
        <v>无数据/数据缺失</v>
      </c>
      <c r="CU205" s="42">
        <f>IF(CT205&lt;0,0,IF(CT205="无数据/数据缺失",0%,IF(CT205&gt;'基本数据输入&amp;测算结果'!$C$20,100%,CT205/'基本数据输入&amp;测算结果'!$C$20)))</f>
        <v>0</v>
      </c>
      <c r="CV205" s="42" t="str">
        <f>IFERROR((AVERAGE(AL205:AS205)*2-'基本数据输入&amp;测算结果'!$C$24*2)/'基本数据输入&amp;测算结果'!$C$21/'基本数据输入&amp;测算结果'!$C$22,"无数据/数据缺失")</f>
        <v>无数据/数据缺失</v>
      </c>
      <c r="CW205" s="42">
        <f>IF(CV205&lt;0,0,IF(CV205="无数据/数据缺失",0%,IF(CV205&gt;'基本数据输入&amp;测算结果'!$C$20*CU205,CU205,CV205/'基本数据输入&amp;测算结果'!$C$20*CU205)))</f>
        <v>0</v>
      </c>
      <c r="CX205" s="42" t="str">
        <f>IFERROR(('基本数据输入&amp;测算结果'!$C$19*2-AVERAGE(AT205:BA205)*2-'基本数据输入&amp;测算结果'!$C$23*2)/'基本数据输入&amp;测算结果'!$C$21*'基本数据输入&amp;测算结果'!$C$22,"无数据/数据缺失")</f>
        <v>无数据/数据缺失</v>
      </c>
      <c r="CY205" s="42">
        <f>IF(CX205&lt;0,0,IF(CX205="无数据/数据缺失",0%,IF(CX205&gt;'基本数据输入&amp;测算结果'!$C$20,100%,CX205/'基本数据输入&amp;测算结果'!$C$20)))</f>
        <v>0</v>
      </c>
      <c r="CZ205" s="42" t="str">
        <f>IFERROR((AVERAGE(BN205:CS205)*8-'基本数据输入&amp;测算结果'!$C$24*8)/'基本数据输入&amp;测算结果'!$C$21/'基本数据输入&amp;测算结果'!$C$22,"无数据/数据缺失")</f>
        <v>无数据/数据缺失</v>
      </c>
      <c r="DA205" s="42">
        <f>IF(CZ205&lt;0,0,IF(CZ205="无数据/数据缺失",0,IF('基本数据输入&amp;测算结果'!$C$20*CY205&gt;CZ205,CZ205/'基本数据输入&amp;测算结果'!$C$20*CY205,CY205)))</f>
        <v>0</v>
      </c>
      <c r="DB205" s="49">
        <f t="shared" si="10"/>
        <v>0</v>
      </c>
      <c r="DC205" s="50">
        <f>IF(DA205=0,0,IF(AVERAGE(CD205:CK205)*2&gt;'基本数据输入&amp;测算结果'!$C$20*DA205,100%,AVERAGE(CD205:CK205)*2/('基本数据输入&amp;测算结果'!$C$20*DA205)))</f>
        <v>0</v>
      </c>
      <c r="DD205" s="50"/>
      <c r="DE205"/>
      <c r="DF205"/>
      <c r="DG205"/>
      <c r="DH205"/>
      <c r="DI205"/>
    </row>
    <row r="206" customHeight="1" spans="1:113">
      <c r="A206" s="48" t="s">
        <v>260</v>
      </c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51"/>
      <c r="AQ206" s="51"/>
      <c r="AR206" s="51"/>
      <c r="AS206" s="51"/>
      <c r="AT206" s="51"/>
      <c r="AU206" s="51"/>
      <c r="AV206" s="51"/>
      <c r="AW206" s="51"/>
      <c r="AX206" s="51"/>
      <c r="AY206" s="51"/>
      <c r="AZ206" s="51"/>
      <c r="BA206" s="51"/>
      <c r="BB206" s="51"/>
      <c r="BC206" s="51"/>
      <c r="BD206" s="51"/>
      <c r="BE206" s="51"/>
      <c r="BF206" s="51"/>
      <c r="BG206" s="51"/>
      <c r="BH206" s="51"/>
      <c r="BI206" s="51"/>
      <c r="BJ206" s="51"/>
      <c r="BK206" s="51"/>
      <c r="BL206" s="51"/>
      <c r="BM206" s="51"/>
      <c r="BN206" s="51"/>
      <c r="BO206" s="51"/>
      <c r="BP206" s="51"/>
      <c r="BQ206" s="51"/>
      <c r="BR206" s="51"/>
      <c r="BS206" s="51"/>
      <c r="BT206" s="51"/>
      <c r="BU206" s="51"/>
      <c r="BV206" s="51"/>
      <c r="BW206" s="51"/>
      <c r="BX206" s="51"/>
      <c r="BY206" s="51"/>
      <c r="BZ206" s="51"/>
      <c r="CA206" s="51"/>
      <c r="CB206" s="51"/>
      <c r="CC206" s="51"/>
      <c r="CD206" s="51"/>
      <c r="CE206" s="51"/>
      <c r="CF206" s="51"/>
      <c r="CG206" s="51"/>
      <c r="CH206" s="51"/>
      <c r="CI206" s="51"/>
      <c r="CJ206" s="51"/>
      <c r="CK206" s="51"/>
      <c r="CL206" s="51"/>
      <c r="CM206" s="51"/>
      <c r="CN206" s="51"/>
      <c r="CO206" s="51"/>
      <c r="CP206" s="51"/>
      <c r="CQ206" s="51"/>
      <c r="CR206" s="51"/>
      <c r="CS206" s="51"/>
      <c r="CT206" s="42" t="str">
        <f>IFERROR(('基本数据输入&amp;测算结果'!$C$19*7-AVERAGE(J206:AK206)*7-'基本数据输入&amp;测算结果'!$C$23*7)/'基本数据输入&amp;测算结果'!$C$21*'基本数据输入&amp;测算结果'!$C$22,"无数据/数据缺失")</f>
        <v>无数据/数据缺失</v>
      </c>
      <c r="CU206" s="42">
        <f>IF(CT206&lt;0,0,IF(CT206="无数据/数据缺失",0%,IF(CT206&gt;'基本数据输入&amp;测算结果'!$C$20,100%,CT206/'基本数据输入&amp;测算结果'!$C$20)))</f>
        <v>0</v>
      </c>
      <c r="CV206" s="42" t="str">
        <f>IFERROR((AVERAGE(AL206:AS206)*2-'基本数据输入&amp;测算结果'!$C$24*2)/'基本数据输入&amp;测算结果'!$C$21/'基本数据输入&amp;测算结果'!$C$22,"无数据/数据缺失")</f>
        <v>无数据/数据缺失</v>
      </c>
      <c r="CW206" s="42">
        <f>IF(CV206&lt;0,0,IF(CV206="无数据/数据缺失",0%,IF(CV206&gt;'基本数据输入&amp;测算结果'!$C$20*CU206,CU206,CV206/'基本数据输入&amp;测算结果'!$C$20*CU206)))</f>
        <v>0</v>
      </c>
      <c r="CX206" s="42" t="str">
        <f>IFERROR(('基本数据输入&amp;测算结果'!$C$19*2-AVERAGE(AT206:BA206)*2-'基本数据输入&amp;测算结果'!$C$23*2)/'基本数据输入&amp;测算结果'!$C$21*'基本数据输入&amp;测算结果'!$C$22,"无数据/数据缺失")</f>
        <v>无数据/数据缺失</v>
      </c>
      <c r="CY206" s="42">
        <f>IF(CX206&lt;0,0,IF(CX206="无数据/数据缺失",0%,IF(CX206&gt;'基本数据输入&amp;测算结果'!$C$20,100%,CX206/'基本数据输入&amp;测算结果'!$C$20)))</f>
        <v>0</v>
      </c>
      <c r="CZ206" s="42" t="str">
        <f>IFERROR((AVERAGE(BN206:CS206)*8-'基本数据输入&amp;测算结果'!$C$24*8)/'基本数据输入&amp;测算结果'!$C$21/'基本数据输入&amp;测算结果'!$C$22,"无数据/数据缺失")</f>
        <v>无数据/数据缺失</v>
      </c>
      <c r="DA206" s="42">
        <f>IF(CZ206&lt;0,0,IF(CZ206="无数据/数据缺失",0,IF('基本数据输入&amp;测算结果'!$C$20*CY206&gt;CZ206,CZ206/'基本数据输入&amp;测算结果'!$C$20*CY206,CY206)))</f>
        <v>0</v>
      </c>
      <c r="DB206" s="49">
        <f t="shared" si="10"/>
        <v>0</v>
      </c>
      <c r="DC206" s="50">
        <f>IF(DA206=0,0,IF(AVERAGE(CD206:CK206)*2&gt;'基本数据输入&amp;测算结果'!$C$20*DA206,100%,AVERAGE(CD206:CK206)*2/('基本数据输入&amp;测算结果'!$C$20*DA206)))</f>
        <v>0</v>
      </c>
      <c r="DD206" s="50"/>
      <c r="DE206"/>
      <c r="DF206"/>
      <c r="DG206"/>
      <c r="DH206"/>
      <c r="DI206"/>
    </row>
    <row r="207" customHeight="1" spans="1:113">
      <c r="A207" s="48" t="s">
        <v>261</v>
      </c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51"/>
      <c r="AQ207" s="51"/>
      <c r="AR207" s="51"/>
      <c r="AS207" s="51"/>
      <c r="AT207" s="51"/>
      <c r="AU207" s="51"/>
      <c r="AV207" s="51"/>
      <c r="AW207" s="51"/>
      <c r="AX207" s="51"/>
      <c r="AY207" s="51"/>
      <c r="AZ207" s="51"/>
      <c r="BA207" s="51"/>
      <c r="BB207" s="51"/>
      <c r="BC207" s="51"/>
      <c r="BD207" s="51"/>
      <c r="BE207" s="51"/>
      <c r="BF207" s="51"/>
      <c r="BG207" s="51"/>
      <c r="BH207" s="51"/>
      <c r="BI207" s="51"/>
      <c r="BJ207" s="51"/>
      <c r="BK207" s="51"/>
      <c r="BL207" s="51"/>
      <c r="BM207" s="51"/>
      <c r="BN207" s="51"/>
      <c r="BO207" s="51"/>
      <c r="BP207" s="51"/>
      <c r="BQ207" s="51"/>
      <c r="BR207" s="51"/>
      <c r="BS207" s="51"/>
      <c r="BT207" s="51"/>
      <c r="BU207" s="51"/>
      <c r="BV207" s="51"/>
      <c r="BW207" s="51"/>
      <c r="BX207" s="51"/>
      <c r="BY207" s="51"/>
      <c r="BZ207" s="51"/>
      <c r="CA207" s="51"/>
      <c r="CB207" s="51"/>
      <c r="CC207" s="51"/>
      <c r="CD207" s="51"/>
      <c r="CE207" s="51"/>
      <c r="CF207" s="51"/>
      <c r="CG207" s="51"/>
      <c r="CH207" s="51"/>
      <c r="CI207" s="51"/>
      <c r="CJ207" s="51"/>
      <c r="CK207" s="51"/>
      <c r="CL207" s="51"/>
      <c r="CM207" s="51"/>
      <c r="CN207" s="51"/>
      <c r="CO207" s="51"/>
      <c r="CP207" s="51"/>
      <c r="CQ207" s="51"/>
      <c r="CR207" s="51"/>
      <c r="CS207" s="51"/>
      <c r="CT207" s="42" t="str">
        <f>IFERROR(('基本数据输入&amp;测算结果'!$C$19*7-AVERAGE(J207:AK207)*7-'基本数据输入&amp;测算结果'!$C$23*7)/'基本数据输入&amp;测算结果'!$C$21*'基本数据输入&amp;测算结果'!$C$22,"无数据/数据缺失")</f>
        <v>无数据/数据缺失</v>
      </c>
      <c r="CU207" s="42">
        <f>IF(CT207&lt;0,0,IF(CT207="无数据/数据缺失",0%,IF(CT207&gt;'基本数据输入&amp;测算结果'!$C$20,100%,CT207/'基本数据输入&amp;测算结果'!$C$20)))</f>
        <v>0</v>
      </c>
      <c r="CV207" s="42" t="str">
        <f>IFERROR((AVERAGE(AL207:AS207)*2-'基本数据输入&amp;测算结果'!$C$24*2)/'基本数据输入&amp;测算结果'!$C$21/'基本数据输入&amp;测算结果'!$C$22,"无数据/数据缺失")</f>
        <v>无数据/数据缺失</v>
      </c>
      <c r="CW207" s="42">
        <f>IF(CV207&lt;0,0,IF(CV207="无数据/数据缺失",0%,IF(CV207&gt;'基本数据输入&amp;测算结果'!$C$20*CU207,CU207,CV207/'基本数据输入&amp;测算结果'!$C$20*CU207)))</f>
        <v>0</v>
      </c>
      <c r="CX207" s="42" t="str">
        <f>IFERROR(('基本数据输入&amp;测算结果'!$C$19*2-AVERAGE(AT207:BA207)*2-'基本数据输入&amp;测算结果'!$C$23*2)/'基本数据输入&amp;测算结果'!$C$21*'基本数据输入&amp;测算结果'!$C$22,"无数据/数据缺失")</f>
        <v>无数据/数据缺失</v>
      </c>
      <c r="CY207" s="42">
        <f>IF(CX207&lt;0,0,IF(CX207="无数据/数据缺失",0%,IF(CX207&gt;'基本数据输入&amp;测算结果'!$C$20,100%,CX207/'基本数据输入&amp;测算结果'!$C$20)))</f>
        <v>0</v>
      </c>
      <c r="CZ207" s="42" t="str">
        <f>IFERROR((AVERAGE(BN207:CS207)*8-'基本数据输入&amp;测算结果'!$C$24*8)/'基本数据输入&amp;测算结果'!$C$21/'基本数据输入&amp;测算结果'!$C$22,"无数据/数据缺失")</f>
        <v>无数据/数据缺失</v>
      </c>
      <c r="DA207" s="42">
        <f>IF(CZ207&lt;0,0,IF(CZ207="无数据/数据缺失",0,IF('基本数据输入&amp;测算结果'!$C$20*CY207&gt;CZ207,CZ207/'基本数据输入&amp;测算结果'!$C$20*CY207,CY207)))</f>
        <v>0</v>
      </c>
      <c r="DB207" s="49">
        <f t="shared" si="10"/>
        <v>0</v>
      </c>
      <c r="DC207" s="50">
        <f>IF(DA207=0,0,IF(AVERAGE(CD207:CK207)*2&gt;'基本数据输入&amp;测算结果'!$C$20*DA207,100%,AVERAGE(CD207:CK207)*2/('基本数据输入&amp;测算结果'!$C$20*DA207)))</f>
        <v>0</v>
      </c>
      <c r="DD207" s="50"/>
      <c r="DE207"/>
      <c r="DF207"/>
      <c r="DG207"/>
      <c r="DH207"/>
      <c r="DI207"/>
    </row>
    <row r="208" customHeight="1" spans="1:113">
      <c r="A208" s="48" t="s">
        <v>262</v>
      </c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51"/>
      <c r="AQ208" s="51"/>
      <c r="AR208" s="51"/>
      <c r="AS208" s="51"/>
      <c r="AT208" s="51"/>
      <c r="AU208" s="51"/>
      <c r="AV208" s="51"/>
      <c r="AW208" s="51"/>
      <c r="AX208" s="51"/>
      <c r="AY208" s="51"/>
      <c r="AZ208" s="51"/>
      <c r="BA208" s="51"/>
      <c r="BB208" s="51"/>
      <c r="BC208" s="51"/>
      <c r="BD208" s="51"/>
      <c r="BE208" s="51"/>
      <c r="BF208" s="51"/>
      <c r="BG208" s="51"/>
      <c r="BH208" s="51"/>
      <c r="BI208" s="51"/>
      <c r="BJ208" s="51"/>
      <c r="BK208" s="51"/>
      <c r="BL208" s="51"/>
      <c r="BM208" s="51"/>
      <c r="BN208" s="51"/>
      <c r="BO208" s="51"/>
      <c r="BP208" s="51"/>
      <c r="BQ208" s="51"/>
      <c r="BR208" s="51"/>
      <c r="BS208" s="51"/>
      <c r="BT208" s="51"/>
      <c r="BU208" s="51"/>
      <c r="BV208" s="51"/>
      <c r="BW208" s="51"/>
      <c r="BX208" s="51"/>
      <c r="BY208" s="51"/>
      <c r="BZ208" s="51"/>
      <c r="CA208" s="51"/>
      <c r="CB208" s="51"/>
      <c r="CC208" s="51"/>
      <c r="CD208" s="51"/>
      <c r="CE208" s="51"/>
      <c r="CF208" s="51"/>
      <c r="CG208" s="51"/>
      <c r="CH208" s="51"/>
      <c r="CI208" s="51"/>
      <c r="CJ208" s="51"/>
      <c r="CK208" s="51"/>
      <c r="CL208" s="51"/>
      <c r="CM208" s="51"/>
      <c r="CN208" s="51"/>
      <c r="CO208" s="51"/>
      <c r="CP208" s="51"/>
      <c r="CQ208" s="51"/>
      <c r="CR208" s="51"/>
      <c r="CS208" s="51"/>
      <c r="CT208" s="42" t="str">
        <f>IFERROR(('基本数据输入&amp;测算结果'!$C$19*7-AVERAGE(J208:AK208)*7-'基本数据输入&amp;测算结果'!$C$23*7)/'基本数据输入&amp;测算结果'!$C$21*'基本数据输入&amp;测算结果'!$C$22,"无数据/数据缺失")</f>
        <v>无数据/数据缺失</v>
      </c>
      <c r="CU208" s="42">
        <f>IF(CT208&lt;0,0,IF(CT208="无数据/数据缺失",0%,IF(CT208&gt;'基本数据输入&amp;测算结果'!$C$20,100%,CT208/'基本数据输入&amp;测算结果'!$C$20)))</f>
        <v>0</v>
      </c>
      <c r="CV208" s="42" t="str">
        <f>IFERROR((AVERAGE(AL208:AS208)*2-'基本数据输入&amp;测算结果'!$C$24*2)/'基本数据输入&amp;测算结果'!$C$21/'基本数据输入&amp;测算结果'!$C$22,"无数据/数据缺失")</f>
        <v>无数据/数据缺失</v>
      </c>
      <c r="CW208" s="42">
        <f>IF(CV208&lt;0,0,IF(CV208="无数据/数据缺失",0%,IF(CV208&gt;'基本数据输入&amp;测算结果'!$C$20*CU208,CU208,CV208/'基本数据输入&amp;测算结果'!$C$20*CU208)))</f>
        <v>0</v>
      </c>
      <c r="CX208" s="42" t="str">
        <f>IFERROR(('基本数据输入&amp;测算结果'!$C$19*2-AVERAGE(AT208:BA208)*2-'基本数据输入&amp;测算结果'!$C$23*2)/'基本数据输入&amp;测算结果'!$C$21*'基本数据输入&amp;测算结果'!$C$22,"无数据/数据缺失")</f>
        <v>无数据/数据缺失</v>
      </c>
      <c r="CY208" s="42">
        <f>IF(CX208&lt;0,0,IF(CX208="无数据/数据缺失",0%,IF(CX208&gt;'基本数据输入&amp;测算结果'!$C$20,100%,CX208/'基本数据输入&amp;测算结果'!$C$20)))</f>
        <v>0</v>
      </c>
      <c r="CZ208" s="42" t="str">
        <f>IFERROR((AVERAGE(BN208:CS208)*8-'基本数据输入&amp;测算结果'!$C$24*8)/'基本数据输入&amp;测算结果'!$C$21/'基本数据输入&amp;测算结果'!$C$22,"无数据/数据缺失")</f>
        <v>无数据/数据缺失</v>
      </c>
      <c r="DA208" s="42">
        <f>IF(CZ208&lt;0,0,IF(CZ208="无数据/数据缺失",0,IF('基本数据输入&amp;测算结果'!$C$20*CY208&gt;CZ208,CZ208/'基本数据输入&amp;测算结果'!$C$20*CY208,CY208)))</f>
        <v>0</v>
      </c>
      <c r="DB208" s="49">
        <f t="shared" si="10"/>
        <v>0</v>
      </c>
      <c r="DC208" s="50">
        <f>IF(DA208=0,0,IF(AVERAGE(CD208:CK208)*2&gt;'基本数据输入&amp;测算结果'!$C$20*DA208,100%,AVERAGE(CD208:CK208)*2/('基本数据输入&amp;测算结果'!$C$20*DA208)))</f>
        <v>0</v>
      </c>
      <c r="DD208" s="50"/>
      <c r="DE208"/>
      <c r="DF208"/>
      <c r="DG208"/>
      <c r="DH208"/>
      <c r="DI208"/>
    </row>
    <row r="209" customHeight="1" spans="1:113">
      <c r="A209" s="48" t="s">
        <v>263</v>
      </c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51"/>
      <c r="AJ209" s="51"/>
      <c r="AK209" s="51"/>
      <c r="AL209" s="51"/>
      <c r="AM209" s="51"/>
      <c r="AN209" s="51"/>
      <c r="AO209" s="51"/>
      <c r="AP209" s="51"/>
      <c r="AQ209" s="51"/>
      <c r="AR209" s="51"/>
      <c r="AS209" s="51"/>
      <c r="AT209" s="51"/>
      <c r="AU209" s="51"/>
      <c r="AV209" s="51"/>
      <c r="AW209" s="51"/>
      <c r="AX209" s="51"/>
      <c r="AY209" s="51"/>
      <c r="AZ209" s="51"/>
      <c r="BA209" s="51"/>
      <c r="BB209" s="51"/>
      <c r="BC209" s="51"/>
      <c r="BD209" s="51"/>
      <c r="BE209" s="51"/>
      <c r="BF209" s="51"/>
      <c r="BG209" s="51"/>
      <c r="BH209" s="51"/>
      <c r="BI209" s="51"/>
      <c r="BJ209" s="51"/>
      <c r="BK209" s="51"/>
      <c r="BL209" s="51"/>
      <c r="BM209" s="51"/>
      <c r="BN209" s="51"/>
      <c r="BO209" s="51"/>
      <c r="BP209" s="51"/>
      <c r="BQ209" s="51"/>
      <c r="BR209" s="51"/>
      <c r="BS209" s="51"/>
      <c r="BT209" s="51"/>
      <c r="BU209" s="51"/>
      <c r="BV209" s="51"/>
      <c r="BW209" s="51"/>
      <c r="BX209" s="51"/>
      <c r="BY209" s="51"/>
      <c r="BZ209" s="51"/>
      <c r="CA209" s="51"/>
      <c r="CB209" s="51"/>
      <c r="CC209" s="51"/>
      <c r="CD209" s="51"/>
      <c r="CE209" s="51"/>
      <c r="CF209" s="51"/>
      <c r="CG209" s="51"/>
      <c r="CH209" s="51"/>
      <c r="CI209" s="51"/>
      <c r="CJ209" s="51"/>
      <c r="CK209" s="51"/>
      <c r="CL209" s="51"/>
      <c r="CM209" s="51"/>
      <c r="CN209" s="51"/>
      <c r="CO209" s="51"/>
      <c r="CP209" s="51"/>
      <c r="CQ209" s="51"/>
      <c r="CR209" s="51"/>
      <c r="CS209" s="51"/>
      <c r="CT209" s="42" t="str">
        <f>IFERROR(('基本数据输入&amp;测算结果'!$C$19*7-AVERAGE(J209:AK209)*7-'基本数据输入&amp;测算结果'!$C$23*7)/'基本数据输入&amp;测算结果'!$C$21*'基本数据输入&amp;测算结果'!$C$22,"无数据/数据缺失")</f>
        <v>无数据/数据缺失</v>
      </c>
      <c r="CU209" s="42">
        <f>IF(CT209&lt;0,0,IF(CT209="无数据/数据缺失",0%,IF(CT209&gt;'基本数据输入&amp;测算结果'!$C$20,100%,CT209/'基本数据输入&amp;测算结果'!$C$20)))</f>
        <v>0</v>
      </c>
      <c r="CV209" s="42" t="str">
        <f>IFERROR((AVERAGE(AL209:AS209)*2-'基本数据输入&amp;测算结果'!$C$24*2)/'基本数据输入&amp;测算结果'!$C$21/'基本数据输入&amp;测算结果'!$C$22,"无数据/数据缺失")</f>
        <v>无数据/数据缺失</v>
      </c>
      <c r="CW209" s="42">
        <f>IF(CV209&lt;0,0,IF(CV209="无数据/数据缺失",0%,IF(CV209&gt;'基本数据输入&amp;测算结果'!$C$20*CU209,CU209,CV209/'基本数据输入&amp;测算结果'!$C$20*CU209)))</f>
        <v>0</v>
      </c>
      <c r="CX209" s="42" t="str">
        <f>IFERROR(('基本数据输入&amp;测算结果'!$C$19*2-AVERAGE(AT209:BA209)*2-'基本数据输入&amp;测算结果'!$C$23*2)/'基本数据输入&amp;测算结果'!$C$21*'基本数据输入&amp;测算结果'!$C$22,"无数据/数据缺失")</f>
        <v>无数据/数据缺失</v>
      </c>
      <c r="CY209" s="42">
        <f>IF(CX209&lt;0,0,IF(CX209="无数据/数据缺失",0%,IF(CX209&gt;'基本数据输入&amp;测算结果'!$C$20,100%,CX209/'基本数据输入&amp;测算结果'!$C$20)))</f>
        <v>0</v>
      </c>
      <c r="CZ209" s="42" t="str">
        <f>IFERROR((AVERAGE(BN209:CS209)*8-'基本数据输入&amp;测算结果'!$C$24*8)/'基本数据输入&amp;测算结果'!$C$21/'基本数据输入&amp;测算结果'!$C$22,"无数据/数据缺失")</f>
        <v>无数据/数据缺失</v>
      </c>
      <c r="DA209" s="42">
        <f>IF(CZ209&lt;0,0,IF(CZ209="无数据/数据缺失",0,IF('基本数据输入&amp;测算结果'!$C$20*CY209&gt;CZ209,CZ209/'基本数据输入&amp;测算结果'!$C$20*CY209,CY209)))</f>
        <v>0</v>
      </c>
      <c r="DB209" s="49">
        <f t="shared" si="10"/>
        <v>0</v>
      </c>
      <c r="DC209" s="50">
        <f>IF(DA209=0,0,IF(AVERAGE(CD209:CK209)*2&gt;'基本数据输入&amp;测算结果'!$C$20*DA209,100%,AVERAGE(CD209:CK209)*2/('基本数据输入&amp;测算结果'!$C$20*DA209)))</f>
        <v>0</v>
      </c>
      <c r="DD209" s="50"/>
      <c r="DE209"/>
      <c r="DF209"/>
      <c r="DG209"/>
      <c r="DH209"/>
      <c r="DI209"/>
    </row>
    <row r="210" customHeight="1" spans="1:113">
      <c r="A210" s="48" t="s">
        <v>264</v>
      </c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1"/>
      <c r="AM210" s="51"/>
      <c r="AN210" s="51"/>
      <c r="AO210" s="51"/>
      <c r="AP210" s="51"/>
      <c r="AQ210" s="51"/>
      <c r="AR210" s="51"/>
      <c r="AS210" s="51"/>
      <c r="AT210" s="51"/>
      <c r="AU210" s="51"/>
      <c r="AV210" s="51"/>
      <c r="AW210" s="51"/>
      <c r="AX210" s="51"/>
      <c r="AY210" s="51"/>
      <c r="AZ210" s="51"/>
      <c r="BA210" s="51"/>
      <c r="BB210" s="51"/>
      <c r="BC210" s="51"/>
      <c r="BD210" s="51"/>
      <c r="BE210" s="51"/>
      <c r="BF210" s="51"/>
      <c r="BG210" s="51"/>
      <c r="BH210" s="51"/>
      <c r="BI210" s="51"/>
      <c r="BJ210" s="51"/>
      <c r="BK210" s="51"/>
      <c r="BL210" s="51"/>
      <c r="BM210" s="51"/>
      <c r="BN210" s="51"/>
      <c r="BO210" s="51"/>
      <c r="BP210" s="51"/>
      <c r="BQ210" s="51"/>
      <c r="BR210" s="51"/>
      <c r="BS210" s="51"/>
      <c r="BT210" s="51"/>
      <c r="BU210" s="51"/>
      <c r="BV210" s="51"/>
      <c r="BW210" s="51"/>
      <c r="BX210" s="51"/>
      <c r="BY210" s="51"/>
      <c r="BZ210" s="51"/>
      <c r="CA210" s="51"/>
      <c r="CB210" s="51"/>
      <c r="CC210" s="51"/>
      <c r="CD210" s="51"/>
      <c r="CE210" s="51"/>
      <c r="CF210" s="51"/>
      <c r="CG210" s="51"/>
      <c r="CH210" s="51"/>
      <c r="CI210" s="51"/>
      <c r="CJ210" s="51"/>
      <c r="CK210" s="51"/>
      <c r="CL210" s="51"/>
      <c r="CM210" s="51"/>
      <c r="CN210" s="51"/>
      <c r="CO210" s="51"/>
      <c r="CP210" s="51"/>
      <c r="CQ210" s="51"/>
      <c r="CR210" s="51"/>
      <c r="CS210" s="51"/>
      <c r="CT210" s="42" t="str">
        <f>IFERROR(('基本数据输入&amp;测算结果'!$C$19*7-AVERAGE(J210:AK210)*7-'基本数据输入&amp;测算结果'!$C$23*7)/'基本数据输入&amp;测算结果'!$C$21*'基本数据输入&amp;测算结果'!$C$22,"无数据/数据缺失")</f>
        <v>无数据/数据缺失</v>
      </c>
      <c r="CU210" s="42">
        <f>IF(CT210&lt;0,0,IF(CT210="无数据/数据缺失",0%,IF(CT210&gt;'基本数据输入&amp;测算结果'!$C$20,100%,CT210/'基本数据输入&amp;测算结果'!$C$20)))</f>
        <v>0</v>
      </c>
      <c r="CV210" s="42" t="str">
        <f>IFERROR((AVERAGE(AL210:AS210)*2-'基本数据输入&amp;测算结果'!$C$24*2)/'基本数据输入&amp;测算结果'!$C$21/'基本数据输入&amp;测算结果'!$C$22,"无数据/数据缺失")</f>
        <v>无数据/数据缺失</v>
      </c>
      <c r="CW210" s="42">
        <f>IF(CV210&lt;0,0,IF(CV210="无数据/数据缺失",0%,IF(CV210&gt;'基本数据输入&amp;测算结果'!$C$20*CU210,CU210,CV210/'基本数据输入&amp;测算结果'!$C$20*CU210)))</f>
        <v>0</v>
      </c>
      <c r="CX210" s="42" t="str">
        <f>IFERROR(('基本数据输入&amp;测算结果'!$C$19*2-AVERAGE(AT210:BA210)*2-'基本数据输入&amp;测算结果'!$C$23*2)/'基本数据输入&amp;测算结果'!$C$21*'基本数据输入&amp;测算结果'!$C$22,"无数据/数据缺失")</f>
        <v>无数据/数据缺失</v>
      </c>
      <c r="CY210" s="42">
        <f>IF(CX210&lt;0,0,IF(CX210="无数据/数据缺失",0%,IF(CX210&gt;'基本数据输入&amp;测算结果'!$C$20,100%,CX210/'基本数据输入&amp;测算结果'!$C$20)))</f>
        <v>0</v>
      </c>
      <c r="CZ210" s="42" t="str">
        <f>IFERROR((AVERAGE(BN210:CS210)*8-'基本数据输入&amp;测算结果'!$C$24*8)/'基本数据输入&amp;测算结果'!$C$21/'基本数据输入&amp;测算结果'!$C$22,"无数据/数据缺失")</f>
        <v>无数据/数据缺失</v>
      </c>
      <c r="DA210" s="42">
        <f>IF(CZ210&lt;0,0,IF(CZ210="无数据/数据缺失",0,IF('基本数据输入&amp;测算结果'!$C$20*CY210&gt;CZ210,CZ210/'基本数据输入&amp;测算结果'!$C$20*CY210,CY210)))</f>
        <v>0</v>
      </c>
      <c r="DB210" s="49">
        <f t="shared" si="10"/>
        <v>0</v>
      </c>
      <c r="DC210" s="50">
        <f>IF(DA210=0,0,IF(AVERAGE(CD210:CK210)*2&gt;'基本数据输入&amp;测算结果'!$C$20*DA210,100%,AVERAGE(CD210:CK210)*2/('基本数据输入&amp;测算结果'!$C$20*DA210)))</f>
        <v>0</v>
      </c>
      <c r="DD210" s="50"/>
      <c r="DE210"/>
      <c r="DF210"/>
      <c r="DG210"/>
      <c r="DH210"/>
      <c r="DI210"/>
    </row>
    <row r="211" customHeight="1" spans="1:113">
      <c r="A211" s="48" t="s">
        <v>265</v>
      </c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1"/>
      <c r="AN211" s="51"/>
      <c r="AO211" s="51"/>
      <c r="AP211" s="51"/>
      <c r="AQ211" s="51"/>
      <c r="AR211" s="51"/>
      <c r="AS211" s="51"/>
      <c r="AT211" s="51"/>
      <c r="AU211" s="51"/>
      <c r="AV211" s="51"/>
      <c r="AW211" s="51"/>
      <c r="AX211" s="51"/>
      <c r="AY211" s="51"/>
      <c r="AZ211" s="51"/>
      <c r="BA211" s="51"/>
      <c r="BB211" s="51"/>
      <c r="BC211" s="51"/>
      <c r="BD211" s="51"/>
      <c r="BE211" s="51"/>
      <c r="BF211" s="51"/>
      <c r="BG211" s="51"/>
      <c r="BH211" s="51"/>
      <c r="BI211" s="51"/>
      <c r="BJ211" s="51"/>
      <c r="BK211" s="51"/>
      <c r="BL211" s="51"/>
      <c r="BM211" s="51"/>
      <c r="BN211" s="51"/>
      <c r="BO211" s="51"/>
      <c r="BP211" s="51"/>
      <c r="BQ211" s="51"/>
      <c r="BR211" s="51"/>
      <c r="BS211" s="51"/>
      <c r="BT211" s="51"/>
      <c r="BU211" s="51"/>
      <c r="BV211" s="51"/>
      <c r="BW211" s="51"/>
      <c r="BX211" s="51"/>
      <c r="BY211" s="51"/>
      <c r="BZ211" s="51"/>
      <c r="CA211" s="51"/>
      <c r="CB211" s="51"/>
      <c r="CC211" s="51"/>
      <c r="CD211" s="51"/>
      <c r="CE211" s="51"/>
      <c r="CF211" s="51"/>
      <c r="CG211" s="51"/>
      <c r="CH211" s="51"/>
      <c r="CI211" s="51"/>
      <c r="CJ211" s="51"/>
      <c r="CK211" s="51"/>
      <c r="CL211" s="51"/>
      <c r="CM211" s="51"/>
      <c r="CN211" s="51"/>
      <c r="CO211" s="51"/>
      <c r="CP211" s="51"/>
      <c r="CQ211" s="51"/>
      <c r="CR211" s="51"/>
      <c r="CS211" s="51"/>
      <c r="CT211" s="42" t="str">
        <f>IFERROR(('基本数据输入&amp;测算结果'!$C$19*7-AVERAGE(J211:AK211)*7-'基本数据输入&amp;测算结果'!$C$23*7)/'基本数据输入&amp;测算结果'!$C$21*'基本数据输入&amp;测算结果'!$C$22,"无数据/数据缺失")</f>
        <v>无数据/数据缺失</v>
      </c>
      <c r="CU211" s="42">
        <f>IF(CT211&lt;0,0,IF(CT211="无数据/数据缺失",0%,IF(CT211&gt;'基本数据输入&amp;测算结果'!$C$20,100%,CT211/'基本数据输入&amp;测算结果'!$C$20)))</f>
        <v>0</v>
      </c>
      <c r="CV211" s="42" t="str">
        <f>IFERROR((AVERAGE(AL211:AS211)*2-'基本数据输入&amp;测算结果'!$C$24*2)/'基本数据输入&amp;测算结果'!$C$21/'基本数据输入&amp;测算结果'!$C$22,"无数据/数据缺失")</f>
        <v>无数据/数据缺失</v>
      </c>
      <c r="CW211" s="42">
        <f>IF(CV211&lt;0,0,IF(CV211="无数据/数据缺失",0%,IF(CV211&gt;'基本数据输入&amp;测算结果'!$C$20*CU211,CU211,CV211/'基本数据输入&amp;测算结果'!$C$20*CU211)))</f>
        <v>0</v>
      </c>
      <c r="CX211" s="42" t="str">
        <f>IFERROR(('基本数据输入&amp;测算结果'!$C$19*2-AVERAGE(AT211:BA211)*2-'基本数据输入&amp;测算结果'!$C$23*2)/'基本数据输入&amp;测算结果'!$C$21*'基本数据输入&amp;测算结果'!$C$22,"无数据/数据缺失")</f>
        <v>无数据/数据缺失</v>
      </c>
      <c r="CY211" s="42">
        <f>IF(CX211&lt;0,0,IF(CX211="无数据/数据缺失",0%,IF(CX211&gt;'基本数据输入&amp;测算结果'!$C$20,100%,CX211/'基本数据输入&amp;测算结果'!$C$20)))</f>
        <v>0</v>
      </c>
      <c r="CZ211" s="42" t="str">
        <f>IFERROR((AVERAGE(BN211:CS211)*8-'基本数据输入&amp;测算结果'!$C$24*8)/'基本数据输入&amp;测算结果'!$C$21/'基本数据输入&amp;测算结果'!$C$22,"无数据/数据缺失")</f>
        <v>无数据/数据缺失</v>
      </c>
      <c r="DA211" s="42">
        <f>IF(CZ211&lt;0,0,IF(CZ211="无数据/数据缺失",0,IF('基本数据输入&amp;测算结果'!$C$20*CY211&gt;CZ211,CZ211/'基本数据输入&amp;测算结果'!$C$20*CY211,CY211)))</f>
        <v>0</v>
      </c>
      <c r="DB211" s="49">
        <f t="shared" si="10"/>
        <v>0</v>
      </c>
      <c r="DC211" s="50">
        <f>IF(DA211=0,0,IF(AVERAGE(CD211:CK211)*2&gt;'基本数据输入&amp;测算结果'!$C$20*DA211,100%,AVERAGE(CD211:CK211)*2/('基本数据输入&amp;测算结果'!$C$20*DA211)))</f>
        <v>0</v>
      </c>
      <c r="DD211" s="50"/>
      <c r="DE211"/>
      <c r="DF211"/>
      <c r="DG211"/>
      <c r="DH211"/>
      <c r="DI211"/>
    </row>
    <row r="212" customHeight="1" spans="1:113">
      <c r="A212" s="48" t="s">
        <v>266</v>
      </c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  <c r="AR212" s="51"/>
      <c r="AS212" s="51"/>
      <c r="AT212" s="51"/>
      <c r="AU212" s="51"/>
      <c r="AV212" s="51"/>
      <c r="AW212" s="51"/>
      <c r="AX212" s="51"/>
      <c r="AY212" s="51"/>
      <c r="AZ212" s="51"/>
      <c r="BA212" s="51"/>
      <c r="BB212" s="51"/>
      <c r="BC212" s="51"/>
      <c r="BD212" s="51"/>
      <c r="BE212" s="51"/>
      <c r="BF212" s="51"/>
      <c r="BG212" s="51"/>
      <c r="BH212" s="51"/>
      <c r="BI212" s="51"/>
      <c r="BJ212" s="51"/>
      <c r="BK212" s="51"/>
      <c r="BL212" s="51"/>
      <c r="BM212" s="51"/>
      <c r="BN212" s="51"/>
      <c r="BO212" s="51"/>
      <c r="BP212" s="51"/>
      <c r="BQ212" s="51"/>
      <c r="BR212" s="51"/>
      <c r="BS212" s="51"/>
      <c r="BT212" s="51"/>
      <c r="BU212" s="51"/>
      <c r="BV212" s="51"/>
      <c r="BW212" s="51"/>
      <c r="BX212" s="51"/>
      <c r="BY212" s="51"/>
      <c r="BZ212" s="51"/>
      <c r="CA212" s="51"/>
      <c r="CB212" s="51"/>
      <c r="CC212" s="51"/>
      <c r="CD212" s="51"/>
      <c r="CE212" s="51"/>
      <c r="CF212" s="51"/>
      <c r="CG212" s="51"/>
      <c r="CH212" s="51"/>
      <c r="CI212" s="51"/>
      <c r="CJ212" s="51"/>
      <c r="CK212" s="51"/>
      <c r="CL212" s="51"/>
      <c r="CM212" s="51"/>
      <c r="CN212" s="51"/>
      <c r="CO212" s="51"/>
      <c r="CP212" s="51"/>
      <c r="CQ212" s="51"/>
      <c r="CR212" s="51"/>
      <c r="CS212" s="51"/>
      <c r="CT212" s="42" t="str">
        <f>IFERROR(('基本数据输入&amp;测算结果'!$C$19*7-AVERAGE(J212:AK212)*7-'基本数据输入&amp;测算结果'!$C$23*7)/'基本数据输入&amp;测算结果'!$C$21*'基本数据输入&amp;测算结果'!$C$22,"无数据/数据缺失")</f>
        <v>无数据/数据缺失</v>
      </c>
      <c r="CU212" s="42">
        <f>IF(CT212&lt;0,0,IF(CT212="无数据/数据缺失",0%,IF(CT212&gt;'基本数据输入&amp;测算结果'!$C$20,100%,CT212/'基本数据输入&amp;测算结果'!$C$20)))</f>
        <v>0</v>
      </c>
      <c r="CV212" s="42" t="str">
        <f>IFERROR((AVERAGE(AL212:AS212)*2-'基本数据输入&amp;测算结果'!$C$24*2)/'基本数据输入&amp;测算结果'!$C$21/'基本数据输入&amp;测算结果'!$C$22,"无数据/数据缺失")</f>
        <v>无数据/数据缺失</v>
      </c>
      <c r="CW212" s="42">
        <f>IF(CV212&lt;0,0,IF(CV212="无数据/数据缺失",0%,IF(CV212&gt;'基本数据输入&amp;测算结果'!$C$20*CU212,CU212,CV212/'基本数据输入&amp;测算结果'!$C$20*CU212)))</f>
        <v>0</v>
      </c>
      <c r="CX212" s="42" t="str">
        <f>IFERROR(('基本数据输入&amp;测算结果'!$C$19*2-AVERAGE(AT212:BA212)*2-'基本数据输入&amp;测算结果'!$C$23*2)/'基本数据输入&amp;测算结果'!$C$21*'基本数据输入&amp;测算结果'!$C$22,"无数据/数据缺失")</f>
        <v>无数据/数据缺失</v>
      </c>
      <c r="CY212" s="42">
        <f>IF(CX212&lt;0,0,IF(CX212="无数据/数据缺失",0%,IF(CX212&gt;'基本数据输入&amp;测算结果'!$C$20,100%,CX212/'基本数据输入&amp;测算结果'!$C$20)))</f>
        <v>0</v>
      </c>
      <c r="CZ212" s="42" t="str">
        <f>IFERROR((AVERAGE(BN212:CS212)*8-'基本数据输入&amp;测算结果'!$C$24*8)/'基本数据输入&amp;测算结果'!$C$21/'基本数据输入&amp;测算结果'!$C$22,"无数据/数据缺失")</f>
        <v>无数据/数据缺失</v>
      </c>
      <c r="DA212" s="42">
        <f>IF(CZ212&lt;0,0,IF(CZ212="无数据/数据缺失",0,IF('基本数据输入&amp;测算结果'!$C$20*CY212&gt;CZ212,CZ212/'基本数据输入&amp;测算结果'!$C$20*CY212,CY212)))</f>
        <v>0</v>
      </c>
      <c r="DB212" s="49">
        <f t="shared" si="10"/>
        <v>0</v>
      </c>
      <c r="DC212" s="50">
        <f>IF(DA212=0,0,IF(AVERAGE(CD212:CK212)*2&gt;'基本数据输入&amp;测算结果'!$C$20*DA212,100%,AVERAGE(CD212:CK212)*2/('基本数据输入&amp;测算结果'!$C$20*DA212)))</f>
        <v>0</v>
      </c>
      <c r="DD212" s="50"/>
      <c r="DE212"/>
      <c r="DF212"/>
      <c r="DG212"/>
      <c r="DH212"/>
      <c r="DI212"/>
    </row>
    <row r="213" s="42" customFormat="1" customHeight="1" spans="1:113">
      <c r="A213" s="48" t="s">
        <v>267</v>
      </c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  <c r="AI213" s="51"/>
      <c r="AJ213" s="51"/>
      <c r="AK213" s="51"/>
      <c r="AL213" s="51"/>
      <c r="AM213" s="51"/>
      <c r="AN213" s="51"/>
      <c r="AO213" s="51"/>
      <c r="AP213" s="51"/>
      <c r="AQ213" s="51"/>
      <c r="AR213" s="51"/>
      <c r="AS213" s="51"/>
      <c r="AT213" s="51"/>
      <c r="AU213" s="51"/>
      <c r="AV213" s="51"/>
      <c r="AW213" s="51"/>
      <c r="AX213" s="51"/>
      <c r="AY213" s="51"/>
      <c r="AZ213" s="51"/>
      <c r="BA213" s="51"/>
      <c r="BB213" s="51"/>
      <c r="BC213" s="51"/>
      <c r="BD213" s="51"/>
      <c r="BE213" s="51"/>
      <c r="BF213" s="51"/>
      <c r="BG213" s="51"/>
      <c r="BH213" s="51"/>
      <c r="BI213" s="51"/>
      <c r="BJ213" s="51"/>
      <c r="BK213" s="51"/>
      <c r="BL213" s="51"/>
      <c r="BM213" s="51"/>
      <c r="BN213" s="51"/>
      <c r="BO213" s="51"/>
      <c r="BP213" s="51"/>
      <c r="BQ213" s="51"/>
      <c r="BR213" s="51"/>
      <c r="BS213" s="51"/>
      <c r="BT213" s="51"/>
      <c r="BU213" s="51"/>
      <c r="BV213" s="51"/>
      <c r="BW213" s="51"/>
      <c r="BX213" s="51"/>
      <c r="BY213" s="51"/>
      <c r="BZ213" s="51"/>
      <c r="CA213" s="51"/>
      <c r="CB213" s="51"/>
      <c r="CC213" s="51"/>
      <c r="CD213" s="51"/>
      <c r="CE213" s="51"/>
      <c r="CF213" s="51"/>
      <c r="CG213" s="51"/>
      <c r="CH213" s="51"/>
      <c r="CI213" s="51"/>
      <c r="CJ213" s="51"/>
      <c r="CK213" s="51"/>
      <c r="CL213" s="51"/>
      <c r="CM213" s="51"/>
      <c r="CN213" s="51"/>
      <c r="CO213" s="51"/>
      <c r="CP213" s="51"/>
      <c r="CQ213" s="51"/>
      <c r="CR213" s="51"/>
      <c r="CS213" s="51"/>
      <c r="CT213" s="42" t="str">
        <f>IFERROR(('基本数据输入&amp;测算结果'!$C$19*7-AVERAGE(J213:AK213)*7-'基本数据输入&amp;测算结果'!$C$23*7)/'基本数据输入&amp;测算结果'!$C$21*'基本数据输入&amp;测算结果'!$C$22,"无数据/数据缺失")</f>
        <v>无数据/数据缺失</v>
      </c>
      <c r="CU213" s="42">
        <f>IF(CT213&lt;0,0,IF(CT213="无数据/数据缺失",0%,IF(CT213&gt;'基本数据输入&amp;测算结果'!$C$20,100%,CT213/'基本数据输入&amp;测算结果'!$C$20)))</f>
        <v>0</v>
      </c>
      <c r="CV213" s="42" t="str">
        <f>IFERROR((AVERAGE(AL213:AS213)*2-'基本数据输入&amp;测算结果'!$C$24*2)/'基本数据输入&amp;测算结果'!$C$21/'基本数据输入&amp;测算结果'!$C$22,"无数据/数据缺失")</f>
        <v>无数据/数据缺失</v>
      </c>
      <c r="CW213" s="42">
        <f>IF(CV213&lt;0,0,IF(CV213="无数据/数据缺失",0%,IF(CV213&gt;'基本数据输入&amp;测算结果'!$C$20*CU213,CU213,CV213/'基本数据输入&amp;测算结果'!$C$20*CU213)))</f>
        <v>0</v>
      </c>
      <c r="CX213" s="42" t="str">
        <f>IFERROR(('基本数据输入&amp;测算结果'!$C$19*2-AVERAGE(AT213:BA213)*2-'基本数据输入&amp;测算结果'!$C$23*2)/'基本数据输入&amp;测算结果'!$C$21*'基本数据输入&amp;测算结果'!$C$22,"无数据/数据缺失")</f>
        <v>无数据/数据缺失</v>
      </c>
      <c r="CY213" s="42">
        <f>IF(CX213&lt;0,0,IF(CX213="无数据/数据缺失",0%,IF(CX213&gt;'基本数据输入&amp;测算结果'!$C$20,100%,CX213/'基本数据输入&amp;测算结果'!$C$20)))</f>
        <v>0</v>
      </c>
      <c r="CZ213" s="42" t="str">
        <f>IFERROR((AVERAGE(BN213:CS213)*8-'基本数据输入&amp;测算结果'!$C$24*8)/'基本数据输入&amp;测算结果'!$C$21/'基本数据输入&amp;测算结果'!$C$22,"无数据/数据缺失")</f>
        <v>无数据/数据缺失</v>
      </c>
      <c r="DA213" s="42">
        <f>IF(CZ213&lt;0,0,IF(CZ213="无数据/数据缺失",0,IF('基本数据输入&amp;测算结果'!$C$20*CY213&gt;CZ213,CZ213/'基本数据输入&amp;测算结果'!$C$20*CY213,CY213)))</f>
        <v>0</v>
      </c>
      <c r="DB213" s="49">
        <f t="shared" si="10"/>
        <v>0</v>
      </c>
      <c r="DC213" s="50">
        <f>IF(DA213=0,0,IF(AVERAGE(CD213:CK213)*2&gt;'基本数据输入&amp;测算结果'!$C$20*DA213,100%,AVERAGE(CD213:CK213)*2/('基本数据输入&amp;测算结果'!$C$20*DA213)))</f>
        <v>0</v>
      </c>
      <c r="DD213" s="50"/>
      <c r="DE213" s="53"/>
      <c r="DF213" s="53"/>
      <c r="DG213" s="53"/>
      <c r="DH213" s="53"/>
      <c r="DI213" s="53"/>
    </row>
    <row r="214" customHeight="1" spans="1:113">
      <c r="A214" s="48" t="s">
        <v>268</v>
      </c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  <c r="AN214" s="51"/>
      <c r="AO214" s="51"/>
      <c r="AP214" s="51"/>
      <c r="AQ214" s="51"/>
      <c r="AR214" s="51"/>
      <c r="AS214" s="51"/>
      <c r="AT214" s="51"/>
      <c r="AU214" s="51"/>
      <c r="AV214" s="51"/>
      <c r="AW214" s="51"/>
      <c r="AX214" s="51"/>
      <c r="AY214" s="51"/>
      <c r="AZ214" s="51"/>
      <c r="BA214" s="51"/>
      <c r="BB214" s="51"/>
      <c r="BC214" s="51"/>
      <c r="BD214" s="51"/>
      <c r="BE214" s="51"/>
      <c r="BF214" s="51"/>
      <c r="BG214" s="51"/>
      <c r="BH214" s="51"/>
      <c r="BI214" s="51"/>
      <c r="BJ214" s="51"/>
      <c r="BK214" s="51"/>
      <c r="BL214" s="51"/>
      <c r="BM214" s="51"/>
      <c r="BN214" s="51"/>
      <c r="BO214" s="51"/>
      <c r="BP214" s="51"/>
      <c r="BQ214" s="51"/>
      <c r="BR214" s="51"/>
      <c r="BS214" s="51"/>
      <c r="BT214" s="51"/>
      <c r="BU214" s="51"/>
      <c r="BV214" s="51"/>
      <c r="BW214" s="51"/>
      <c r="BX214" s="51"/>
      <c r="BY214" s="51"/>
      <c r="BZ214" s="51"/>
      <c r="CA214" s="51"/>
      <c r="CB214" s="51"/>
      <c r="CC214" s="51"/>
      <c r="CD214" s="51"/>
      <c r="CE214" s="51"/>
      <c r="CF214" s="51"/>
      <c r="CG214" s="51"/>
      <c r="CH214" s="51"/>
      <c r="CI214" s="51"/>
      <c r="CJ214" s="51"/>
      <c r="CK214" s="51"/>
      <c r="CL214" s="51"/>
      <c r="CM214" s="51"/>
      <c r="CN214" s="51"/>
      <c r="CO214" s="51"/>
      <c r="CP214" s="51"/>
      <c r="CQ214" s="51"/>
      <c r="CR214" s="51"/>
      <c r="CS214" s="51"/>
      <c r="CT214" s="42" t="str">
        <f>IFERROR(('基本数据输入&amp;测算结果'!$C$19*7-AVERAGE(J214:AK214)*7-'基本数据输入&amp;测算结果'!$C$23*7)/'基本数据输入&amp;测算结果'!$C$21*'基本数据输入&amp;测算结果'!$C$22,"无数据/数据缺失")</f>
        <v>无数据/数据缺失</v>
      </c>
      <c r="CU214" s="42">
        <f>IF(CT214&lt;0,0,IF(CT214="无数据/数据缺失",0%,IF(CT214&gt;'基本数据输入&amp;测算结果'!$C$20,100%,CT214/'基本数据输入&amp;测算结果'!$C$20)))</f>
        <v>0</v>
      </c>
      <c r="CV214" s="42" t="str">
        <f>IFERROR((AVERAGE(AL214:AS214)*2-'基本数据输入&amp;测算结果'!$C$24*2)/'基本数据输入&amp;测算结果'!$C$21/'基本数据输入&amp;测算结果'!$C$22,"无数据/数据缺失")</f>
        <v>无数据/数据缺失</v>
      </c>
      <c r="CW214" s="42">
        <f>IF(CV214&lt;0,0,IF(CV214="无数据/数据缺失",0%,IF(CV214&gt;'基本数据输入&amp;测算结果'!$C$20*CU214,CU214,CV214/'基本数据输入&amp;测算结果'!$C$20*CU214)))</f>
        <v>0</v>
      </c>
      <c r="CX214" s="42" t="str">
        <f>IFERROR(('基本数据输入&amp;测算结果'!$C$19*2-AVERAGE(AT214:BA214)*2-'基本数据输入&amp;测算结果'!$C$23*2)/'基本数据输入&amp;测算结果'!$C$21*'基本数据输入&amp;测算结果'!$C$22,"无数据/数据缺失")</f>
        <v>无数据/数据缺失</v>
      </c>
      <c r="CY214" s="42">
        <f>IF(CX214&lt;0,0,IF(CX214="无数据/数据缺失",0%,IF(CX214&gt;'基本数据输入&amp;测算结果'!$C$20,100%,CX214/'基本数据输入&amp;测算结果'!$C$20)))</f>
        <v>0</v>
      </c>
      <c r="CZ214" s="42" t="str">
        <f>IFERROR((AVERAGE(BN214:CS214)*8-'基本数据输入&amp;测算结果'!$C$24*8)/'基本数据输入&amp;测算结果'!$C$21/'基本数据输入&amp;测算结果'!$C$22,"无数据/数据缺失")</f>
        <v>无数据/数据缺失</v>
      </c>
      <c r="DA214" s="42">
        <f>IF(CZ214&lt;0,0,IF(CZ214="无数据/数据缺失",0,IF('基本数据输入&amp;测算结果'!$C$20*CY214&gt;CZ214,CZ214/'基本数据输入&amp;测算结果'!$C$20*CY214,CY214)))</f>
        <v>0</v>
      </c>
      <c r="DB214" s="49">
        <f t="shared" si="10"/>
        <v>0</v>
      </c>
      <c r="DC214" s="50">
        <f>IF(DA214=0,0,IF(AVERAGE(CD214:CK214)*2&gt;'基本数据输入&amp;测算结果'!$C$20*DA214,100%,AVERAGE(CD214:CK214)*2/('基本数据输入&amp;测算结果'!$C$20*DA214)))</f>
        <v>0</v>
      </c>
      <c r="DD214" s="50"/>
      <c r="DE214"/>
      <c r="DF214"/>
      <c r="DG214"/>
      <c r="DH214"/>
      <c r="DI214"/>
    </row>
    <row r="215" customHeight="1" spans="1:113">
      <c r="A215" s="48" t="s">
        <v>269</v>
      </c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1"/>
      <c r="AM215" s="51"/>
      <c r="AN215" s="51"/>
      <c r="AO215" s="51"/>
      <c r="AP215" s="51"/>
      <c r="AQ215" s="51"/>
      <c r="AR215" s="51"/>
      <c r="AS215" s="51"/>
      <c r="AT215" s="51"/>
      <c r="AU215" s="51"/>
      <c r="AV215" s="51"/>
      <c r="AW215" s="51"/>
      <c r="AX215" s="51"/>
      <c r="AY215" s="51"/>
      <c r="AZ215" s="51"/>
      <c r="BA215" s="51"/>
      <c r="BB215" s="51"/>
      <c r="BC215" s="51"/>
      <c r="BD215" s="51"/>
      <c r="BE215" s="51"/>
      <c r="BF215" s="51"/>
      <c r="BG215" s="51"/>
      <c r="BH215" s="51"/>
      <c r="BI215" s="51"/>
      <c r="BJ215" s="51"/>
      <c r="BK215" s="51"/>
      <c r="BL215" s="51"/>
      <c r="BM215" s="51"/>
      <c r="BN215" s="51"/>
      <c r="BO215" s="51"/>
      <c r="BP215" s="51"/>
      <c r="BQ215" s="51"/>
      <c r="BR215" s="51"/>
      <c r="BS215" s="51"/>
      <c r="BT215" s="51"/>
      <c r="BU215" s="51"/>
      <c r="BV215" s="51"/>
      <c r="BW215" s="51"/>
      <c r="BX215" s="51"/>
      <c r="BY215" s="51"/>
      <c r="BZ215" s="51"/>
      <c r="CA215" s="51"/>
      <c r="CB215" s="51"/>
      <c r="CC215" s="51"/>
      <c r="CD215" s="51"/>
      <c r="CE215" s="51"/>
      <c r="CF215" s="51"/>
      <c r="CG215" s="51"/>
      <c r="CH215" s="51"/>
      <c r="CI215" s="51"/>
      <c r="CJ215" s="51"/>
      <c r="CK215" s="51"/>
      <c r="CL215" s="51"/>
      <c r="CM215" s="51"/>
      <c r="CN215" s="51"/>
      <c r="CO215" s="51"/>
      <c r="CP215" s="51"/>
      <c r="CQ215" s="51"/>
      <c r="CR215" s="51"/>
      <c r="CS215" s="51"/>
      <c r="CT215" s="42" t="str">
        <f>IFERROR(('基本数据输入&amp;测算结果'!$C$19*7-AVERAGE(J215:AK215)*7-'基本数据输入&amp;测算结果'!$C$23*7)/'基本数据输入&amp;测算结果'!$C$21*'基本数据输入&amp;测算结果'!$C$22,"无数据/数据缺失")</f>
        <v>无数据/数据缺失</v>
      </c>
      <c r="CU215" s="42">
        <f>IF(CT215&lt;0,0,IF(CT215="无数据/数据缺失",0%,IF(CT215&gt;'基本数据输入&amp;测算结果'!$C$20,100%,CT215/'基本数据输入&amp;测算结果'!$C$20)))</f>
        <v>0</v>
      </c>
      <c r="CV215" s="42" t="str">
        <f>IFERROR((AVERAGE(AL215:AS215)*2-'基本数据输入&amp;测算结果'!$C$24*2)/'基本数据输入&amp;测算结果'!$C$21/'基本数据输入&amp;测算结果'!$C$22,"无数据/数据缺失")</f>
        <v>无数据/数据缺失</v>
      </c>
      <c r="CW215" s="42">
        <f>IF(CV215&lt;0,0,IF(CV215="无数据/数据缺失",0%,IF(CV215&gt;'基本数据输入&amp;测算结果'!$C$20*CU215,CU215,CV215/'基本数据输入&amp;测算结果'!$C$20*CU215)))</f>
        <v>0</v>
      </c>
      <c r="CX215" s="42" t="str">
        <f>IFERROR(('基本数据输入&amp;测算结果'!$C$19*2-AVERAGE(AT215:BA215)*2-'基本数据输入&amp;测算结果'!$C$23*2)/'基本数据输入&amp;测算结果'!$C$21*'基本数据输入&amp;测算结果'!$C$22,"无数据/数据缺失")</f>
        <v>无数据/数据缺失</v>
      </c>
      <c r="CY215" s="42">
        <f>IF(CX215&lt;0,0,IF(CX215="无数据/数据缺失",0%,IF(CX215&gt;'基本数据输入&amp;测算结果'!$C$20,100%,CX215/'基本数据输入&amp;测算结果'!$C$20)))</f>
        <v>0</v>
      </c>
      <c r="CZ215" s="42" t="str">
        <f>IFERROR((AVERAGE(BN215:CS215)*8-'基本数据输入&amp;测算结果'!$C$24*8)/'基本数据输入&amp;测算结果'!$C$21/'基本数据输入&amp;测算结果'!$C$22,"无数据/数据缺失")</f>
        <v>无数据/数据缺失</v>
      </c>
      <c r="DA215" s="42">
        <f>IF(CZ215&lt;0,0,IF(CZ215="无数据/数据缺失",0,IF('基本数据输入&amp;测算结果'!$C$20*CY215&gt;CZ215,CZ215/'基本数据输入&amp;测算结果'!$C$20*CY215,CY215)))</f>
        <v>0</v>
      </c>
      <c r="DB215" s="49">
        <f t="shared" si="10"/>
        <v>0</v>
      </c>
      <c r="DC215" s="50">
        <f>IF(DA215=0,0,IF(AVERAGE(CD215:CK215)*2&gt;'基本数据输入&amp;测算结果'!$C$20*DA215,100%,AVERAGE(CD215:CK215)*2/('基本数据输入&amp;测算结果'!$C$20*DA215)))</f>
        <v>0</v>
      </c>
      <c r="DD215" s="50"/>
      <c r="DE215"/>
      <c r="DF215"/>
      <c r="DG215"/>
      <c r="DH215"/>
      <c r="DI215"/>
    </row>
    <row r="216" customHeight="1" spans="1:113">
      <c r="A216" s="48" t="s">
        <v>270</v>
      </c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  <c r="AK216" s="51"/>
      <c r="AL216" s="51"/>
      <c r="AM216" s="51"/>
      <c r="AN216" s="51"/>
      <c r="AO216" s="51"/>
      <c r="AP216" s="51"/>
      <c r="AQ216" s="51"/>
      <c r="AR216" s="51"/>
      <c r="AS216" s="51"/>
      <c r="AT216" s="51"/>
      <c r="AU216" s="51"/>
      <c r="AV216" s="51"/>
      <c r="AW216" s="51"/>
      <c r="AX216" s="51"/>
      <c r="AY216" s="51"/>
      <c r="AZ216" s="51"/>
      <c r="BA216" s="51"/>
      <c r="BB216" s="51"/>
      <c r="BC216" s="51"/>
      <c r="BD216" s="51"/>
      <c r="BE216" s="51"/>
      <c r="BF216" s="51"/>
      <c r="BG216" s="51"/>
      <c r="BH216" s="51"/>
      <c r="BI216" s="51"/>
      <c r="BJ216" s="51"/>
      <c r="BK216" s="51"/>
      <c r="BL216" s="51"/>
      <c r="BM216" s="51"/>
      <c r="BN216" s="51"/>
      <c r="BO216" s="51"/>
      <c r="BP216" s="51"/>
      <c r="BQ216" s="51"/>
      <c r="BR216" s="51"/>
      <c r="BS216" s="51"/>
      <c r="BT216" s="51"/>
      <c r="BU216" s="51"/>
      <c r="BV216" s="51"/>
      <c r="BW216" s="51"/>
      <c r="BX216" s="51"/>
      <c r="BY216" s="51"/>
      <c r="BZ216" s="51"/>
      <c r="CA216" s="51"/>
      <c r="CB216" s="51"/>
      <c r="CC216" s="51"/>
      <c r="CD216" s="51"/>
      <c r="CE216" s="51"/>
      <c r="CF216" s="51"/>
      <c r="CG216" s="51"/>
      <c r="CH216" s="51"/>
      <c r="CI216" s="51"/>
      <c r="CJ216" s="51"/>
      <c r="CK216" s="51"/>
      <c r="CL216" s="51"/>
      <c r="CM216" s="51"/>
      <c r="CN216" s="51"/>
      <c r="CO216" s="51"/>
      <c r="CP216" s="51"/>
      <c r="CQ216" s="51"/>
      <c r="CR216" s="51"/>
      <c r="CS216" s="51"/>
      <c r="CT216" s="42" t="str">
        <f>IFERROR(('基本数据输入&amp;测算结果'!$C$19*7-AVERAGE(J216:AK216)*7-'基本数据输入&amp;测算结果'!$C$23*7)/'基本数据输入&amp;测算结果'!$C$21*'基本数据输入&amp;测算结果'!$C$22,"无数据/数据缺失")</f>
        <v>无数据/数据缺失</v>
      </c>
      <c r="CU216" s="42">
        <f>IF(CT216&lt;0,0,IF(CT216="无数据/数据缺失",0%,IF(CT216&gt;'基本数据输入&amp;测算结果'!$C$20,100%,CT216/'基本数据输入&amp;测算结果'!$C$20)))</f>
        <v>0</v>
      </c>
      <c r="CV216" s="42" t="str">
        <f>IFERROR((AVERAGE(AL216:AS216)*2-'基本数据输入&amp;测算结果'!$C$24*2)/'基本数据输入&amp;测算结果'!$C$21/'基本数据输入&amp;测算结果'!$C$22,"无数据/数据缺失")</f>
        <v>无数据/数据缺失</v>
      </c>
      <c r="CW216" s="42">
        <f>IF(CV216&lt;0,0,IF(CV216="无数据/数据缺失",0%,IF(CV216&gt;'基本数据输入&amp;测算结果'!$C$20*CU216,CU216,CV216/'基本数据输入&amp;测算结果'!$C$20*CU216)))</f>
        <v>0</v>
      </c>
      <c r="CX216" s="42" t="str">
        <f>IFERROR(('基本数据输入&amp;测算结果'!$C$19*2-AVERAGE(AT216:BA216)*2-'基本数据输入&amp;测算结果'!$C$23*2)/'基本数据输入&amp;测算结果'!$C$21*'基本数据输入&amp;测算结果'!$C$22,"无数据/数据缺失")</f>
        <v>无数据/数据缺失</v>
      </c>
      <c r="CY216" s="42">
        <f>IF(CX216&lt;0,0,IF(CX216="无数据/数据缺失",0%,IF(CX216&gt;'基本数据输入&amp;测算结果'!$C$20,100%,CX216/'基本数据输入&amp;测算结果'!$C$20)))</f>
        <v>0</v>
      </c>
      <c r="CZ216" s="42" t="str">
        <f>IFERROR((AVERAGE(BN216:CS216)*8-'基本数据输入&amp;测算结果'!$C$24*8)/'基本数据输入&amp;测算结果'!$C$21/'基本数据输入&amp;测算结果'!$C$22,"无数据/数据缺失")</f>
        <v>无数据/数据缺失</v>
      </c>
      <c r="DA216" s="42">
        <f>IF(CZ216&lt;0,0,IF(CZ216="无数据/数据缺失",0,IF('基本数据输入&amp;测算结果'!$C$20*CY216&gt;CZ216,CZ216/'基本数据输入&amp;测算结果'!$C$20*CY216,CY216)))</f>
        <v>0</v>
      </c>
      <c r="DB216" s="49">
        <f t="shared" ref="DB216:DB247" si="11">MIN(CU216,CW216)+MIN(CY216,DA216)</f>
        <v>0</v>
      </c>
      <c r="DC216" s="50">
        <f>IF(DA216=0,0,IF(AVERAGE(CD216:CK216)*2&gt;'基本数据输入&amp;测算结果'!$C$20*DA216,100%,AVERAGE(CD216:CK216)*2/('基本数据输入&amp;测算结果'!$C$20*DA216)))</f>
        <v>0</v>
      </c>
      <c r="DD216" s="50"/>
      <c r="DE216"/>
      <c r="DF216"/>
      <c r="DG216"/>
      <c r="DH216"/>
      <c r="DI216"/>
    </row>
    <row r="217" customHeight="1" spans="1:113">
      <c r="A217" s="48" t="s">
        <v>271</v>
      </c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1"/>
      <c r="AM217" s="51"/>
      <c r="AN217" s="51"/>
      <c r="AO217" s="51"/>
      <c r="AP217" s="51"/>
      <c r="AQ217" s="51"/>
      <c r="AR217" s="51"/>
      <c r="AS217" s="51"/>
      <c r="AT217" s="51"/>
      <c r="AU217" s="51"/>
      <c r="AV217" s="51"/>
      <c r="AW217" s="51"/>
      <c r="AX217" s="51"/>
      <c r="AY217" s="51"/>
      <c r="AZ217" s="51"/>
      <c r="BA217" s="51"/>
      <c r="BB217" s="51"/>
      <c r="BC217" s="51"/>
      <c r="BD217" s="51"/>
      <c r="BE217" s="51"/>
      <c r="BF217" s="51"/>
      <c r="BG217" s="51"/>
      <c r="BH217" s="51"/>
      <c r="BI217" s="51"/>
      <c r="BJ217" s="51"/>
      <c r="BK217" s="51"/>
      <c r="BL217" s="51"/>
      <c r="BM217" s="51"/>
      <c r="BN217" s="51"/>
      <c r="BO217" s="51"/>
      <c r="BP217" s="51"/>
      <c r="BQ217" s="51"/>
      <c r="BR217" s="51"/>
      <c r="BS217" s="51"/>
      <c r="BT217" s="51"/>
      <c r="BU217" s="51"/>
      <c r="BV217" s="51"/>
      <c r="BW217" s="51"/>
      <c r="BX217" s="51"/>
      <c r="BY217" s="51"/>
      <c r="BZ217" s="51"/>
      <c r="CA217" s="51"/>
      <c r="CB217" s="51"/>
      <c r="CC217" s="51"/>
      <c r="CD217" s="51"/>
      <c r="CE217" s="51"/>
      <c r="CF217" s="51"/>
      <c r="CG217" s="51"/>
      <c r="CH217" s="51"/>
      <c r="CI217" s="51"/>
      <c r="CJ217" s="51"/>
      <c r="CK217" s="51"/>
      <c r="CL217" s="51"/>
      <c r="CM217" s="51"/>
      <c r="CN217" s="51"/>
      <c r="CO217" s="51"/>
      <c r="CP217" s="51"/>
      <c r="CQ217" s="51"/>
      <c r="CR217" s="51"/>
      <c r="CS217" s="51"/>
      <c r="CT217" s="42" t="str">
        <f>IFERROR(('基本数据输入&amp;测算结果'!$C$19*7-AVERAGE(J217:AK217)*7-'基本数据输入&amp;测算结果'!$C$23*7)/'基本数据输入&amp;测算结果'!$C$21*'基本数据输入&amp;测算结果'!$C$22,"无数据/数据缺失")</f>
        <v>无数据/数据缺失</v>
      </c>
      <c r="CU217" s="42">
        <f>IF(CT217&lt;0,0,IF(CT217="无数据/数据缺失",0%,IF(CT217&gt;'基本数据输入&amp;测算结果'!$C$20,100%,CT217/'基本数据输入&amp;测算结果'!$C$20)))</f>
        <v>0</v>
      </c>
      <c r="CV217" s="42" t="str">
        <f>IFERROR((AVERAGE(AL217:AS217)*2-'基本数据输入&amp;测算结果'!$C$24*2)/'基本数据输入&amp;测算结果'!$C$21/'基本数据输入&amp;测算结果'!$C$22,"无数据/数据缺失")</f>
        <v>无数据/数据缺失</v>
      </c>
      <c r="CW217" s="42">
        <f>IF(CV217&lt;0,0,IF(CV217="无数据/数据缺失",0%,IF(CV217&gt;'基本数据输入&amp;测算结果'!$C$20*CU217,CU217,CV217/'基本数据输入&amp;测算结果'!$C$20*CU217)))</f>
        <v>0</v>
      </c>
      <c r="CX217" s="42" t="str">
        <f>IFERROR(('基本数据输入&amp;测算结果'!$C$19*2-AVERAGE(AT217:BA217)*2-'基本数据输入&amp;测算结果'!$C$23*2)/'基本数据输入&amp;测算结果'!$C$21*'基本数据输入&amp;测算结果'!$C$22,"无数据/数据缺失")</f>
        <v>无数据/数据缺失</v>
      </c>
      <c r="CY217" s="42">
        <f>IF(CX217&lt;0,0,IF(CX217="无数据/数据缺失",0%,IF(CX217&gt;'基本数据输入&amp;测算结果'!$C$20,100%,CX217/'基本数据输入&amp;测算结果'!$C$20)))</f>
        <v>0</v>
      </c>
      <c r="CZ217" s="42" t="str">
        <f>IFERROR((AVERAGE(BN217:CS217)*8-'基本数据输入&amp;测算结果'!$C$24*8)/'基本数据输入&amp;测算结果'!$C$21/'基本数据输入&amp;测算结果'!$C$22,"无数据/数据缺失")</f>
        <v>无数据/数据缺失</v>
      </c>
      <c r="DA217" s="42">
        <f>IF(CZ217&lt;0,0,IF(CZ217="无数据/数据缺失",0,IF('基本数据输入&amp;测算结果'!$C$20*CY217&gt;CZ217,CZ217/'基本数据输入&amp;测算结果'!$C$20*CY217,CY217)))</f>
        <v>0</v>
      </c>
      <c r="DB217" s="49">
        <f t="shared" si="11"/>
        <v>0</v>
      </c>
      <c r="DC217" s="50">
        <f>IF(DA217=0,0,IF(AVERAGE(CD217:CK217)*2&gt;'基本数据输入&amp;测算结果'!$C$20*DA217,100%,AVERAGE(CD217:CK217)*2/('基本数据输入&amp;测算结果'!$C$20*DA217)))</f>
        <v>0</v>
      </c>
      <c r="DD217" s="50"/>
      <c r="DE217"/>
      <c r="DF217"/>
      <c r="DG217"/>
      <c r="DH217"/>
      <c r="DI217"/>
    </row>
    <row r="218" customHeight="1" spans="1:113">
      <c r="A218" s="48" t="s">
        <v>272</v>
      </c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1"/>
      <c r="AM218" s="51"/>
      <c r="AN218" s="51"/>
      <c r="AO218" s="51"/>
      <c r="AP218" s="51"/>
      <c r="AQ218" s="51"/>
      <c r="AR218" s="51"/>
      <c r="AS218" s="51"/>
      <c r="AT218" s="51"/>
      <c r="AU218" s="51"/>
      <c r="AV218" s="51"/>
      <c r="AW218" s="51"/>
      <c r="AX218" s="51"/>
      <c r="AY218" s="51"/>
      <c r="AZ218" s="51"/>
      <c r="BA218" s="51"/>
      <c r="BB218" s="51"/>
      <c r="BC218" s="51"/>
      <c r="BD218" s="51"/>
      <c r="BE218" s="51"/>
      <c r="BF218" s="51"/>
      <c r="BG218" s="51"/>
      <c r="BH218" s="51"/>
      <c r="BI218" s="51"/>
      <c r="BJ218" s="51"/>
      <c r="BK218" s="51"/>
      <c r="BL218" s="51"/>
      <c r="BM218" s="51"/>
      <c r="BN218" s="51"/>
      <c r="BO218" s="51"/>
      <c r="BP218" s="51"/>
      <c r="BQ218" s="51"/>
      <c r="BR218" s="51"/>
      <c r="BS218" s="51"/>
      <c r="BT218" s="51"/>
      <c r="BU218" s="51"/>
      <c r="BV218" s="51"/>
      <c r="BW218" s="51"/>
      <c r="BX218" s="51"/>
      <c r="BY218" s="51"/>
      <c r="BZ218" s="51"/>
      <c r="CA218" s="51"/>
      <c r="CB218" s="51"/>
      <c r="CC218" s="51"/>
      <c r="CD218" s="51"/>
      <c r="CE218" s="51"/>
      <c r="CF218" s="51"/>
      <c r="CG218" s="51"/>
      <c r="CH218" s="51"/>
      <c r="CI218" s="51"/>
      <c r="CJ218" s="51"/>
      <c r="CK218" s="51"/>
      <c r="CL218" s="51"/>
      <c r="CM218" s="51"/>
      <c r="CN218" s="51"/>
      <c r="CO218" s="51"/>
      <c r="CP218" s="51"/>
      <c r="CQ218" s="51"/>
      <c r="CR218" s="51"/>
      <c r="CS218" s="51"/>
      <c r="CT218" s="42" t="str">
        <f>IFERROR(('基本数据输入&amp;测算结果'!$C$19*7-AVERAGE(J218:AK218)*7-'基本数据输入&amp;测算结果'!$C$23*7)/'基本数据输入&amp;测算结果'!$C$21*'基本数据输入&amp;测算结果'!$C$22,"无数据/数据缺失")</f>
        <v>无数据/数据缺失</v>
      </c>
      <c r="CU218" s="42">
        <f>IF(CT218&lt;0,0,IF(CT218="无数据/数据缺失",0%,IF(CT218&gt;'基本数据输入&amp;测算结果'!$C$20,100%,CT218/'基本数据输入&amp;测算结果'!$C$20)))</f>
        <v>0</v>
      </c>
      <c r="CV218" s="42" t="str">
        <f>IFERROR((AVERAGE(AL218:AS218)*2-'基本数据输入&amp;测算结果'!$C$24*2)/'基本数据输入&amp;测算结果'!$C$21/'基本数据输入&amp;测算结果'!$C$22,"无数据/数据缺失")</f>
        <v>无数据/数据缺失</v>
      </c>
      <c r="CW218" s="42">
        <f>IF(CV218&lt;0,0,IF(CV218="无数据/数据缺失",0%,IF(CV218&gt;'基本数据输入&amp;测算结果'!$C$20*CU218,CU218,CV218/'基本数据输入&amp;测算结果'!$C$20*CU218)))</f>
        <v>0</v>
      </c>
      <c r="CX218" s="42" t="str">
        <f>IFERROR(('基本数据输入&amp;测算结果'!$C$19*2-AVERAGE(AT218:BA218)*2-'基本数据输入&amp;测算结果'!$C$23*2)/'基本数据输入&amp;测算结果'!$C$21*'基本数据输入&amp;测算结果'!$C$22,"无数据/数据缺失")</f>
        <v>无数据/数据缺失</v>
      </c>
      <c r="CY218" s="42">
        <f>IF(CX218&lt;0,0,IF(CX218="无数据/数据缺失",0%,IF(CX218&gt;'基本数据输入&amp;测算结果'!$C$20,100%,CX218/'基本数据输入&amp;测算结果'!$C$20)))</f>
        <v>0</v>
      </c>
      <c r="CZ218" s="42" t="str">
        <f>IFERROR((AVERAGE(BN218:CS218)*8-'基本数据输入&amp;测算结果'!$C$24*8)/'基本数据输入&amp;测算结果'!$C$21/'基本数据输入&amp;测算结果'!$C$22,"无数据/数据缺失")</f>
        <v>无数据/数据缺失</v>
      </c>
      <c r="DA218" s="42">
        <f>IF(CZ218&lt;0,0,IF(CZ218="无数据/数据缺失",0,IF('基本数据输入&amp;测算结果'!$C$20*CY218&gt;CZ218,CZ218/'基本数据输入&amp;测算结果'!$C$20*CY218,CY218)))</f>
        <v>0</v>
      </c>
      <c r="DB218" s="49">
        <f t="shared" si="11"/>
        <v>0</v>
      </c>
      <c r="DC218" s="50">
        <f>IF(DA218=0,0,IF(AVERAGE(CD218:CK218)*2&gt;'基本数据输入&amp;测算结果'!$C$20*DA218,100%,AVERAGE(CD218:CK218)*2/('基本数据输入&amp;测算结果'!$C$20*DA218)))</f>
        <v>0</v>
      </c>
      <c r="DD218" s="50"/>
      <c r="DE218"/>
      <c r="DF218"/>
      <c r="DG218"/>
      <c r="DH218"/>
      <c r="DI218"/>
    </row>
    <row r="219" customHeight="1" spans="1:113">
      <c r="A219" s="48" t="s">
        <v>273</v>
      </c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1"/>
      <c r="AM219" s="51"/>
      <c r="AN219" s="51"/>
      <c r="AO219" s="51"/>
      <c r="AP219" s="51"/>
      <c r="AQ219" s="51"/>
      <c r="AR219" s="51"/>
      <c r="AS219" s="51"/>
      <c r="AT219" s="51"/>
      <c r="AU219" s="51"/>
      <c r="AV219" s="51"/>
      <c r="AW219" s="51"/>
      <c r="AX219" s="51"/>
      <c r="AY219" s="51"/>
      <c r="AZ219" s="51"/>
      <c r="BA219" s="51"/>
      <c r="BB219" s="51"/>
      <c r="BC219" s="51"/>
      <c r="BD219" s="51"/>
      <c r="BE219" s="51"/>
      <c r="BF219" s="51"/>
      <c r="BG219" s="51"/>
      <c r="BH219" s="51"/>
      <c r="BI219" s="51"/>
      <c r="BJ219" s="51"/>
      <c r="BK219" s="51"/>
      <c r="BL219" s="51"/>
      <c r="BM219" s="51"/>
      <c r="BN219" s="51"/>
      <c r="BO219" s="51"/>
      <c r="BP219" s="51"/>
      <c r="BQ219" s="51"/>
      <c r="BR219" s="51"/>
      <c r="BS219" s="51"/>
      <c r="BT219" s="51"/>
      <c r="BU219" s="51"/>
      <c r="BV219" s="51"/>
      <c r="BW219" s="51"/>
      <c r="BX219" s="51"/>
      <c r="BY219" s="51"/>
      <c r="BZ219" s="51"/>
      <c r="CA219" s="51"/>
      <c r="CB219" s="51"/>
      <c r="CC219" s="51"/>
      <c r="CD219" s="51"/>
      <c r="CE219" s="51"/>
      <c r="CF219" s="51"/>
      <c r="CG219" s="51"/>
      <c r="CH219" s="51"/>
      <c r="CI219" s="51"/>
      <c r="CJ219" s="51"/>
      <c r="CK219" s="51"/>
      <c r="CL219" s="51"/>
      <c r="CM219" s="51"/>
      <c r="CN219" s="51"/>
      <c r="CO219" s="51"/>
      <c r="CP219" s="51"/>
      <c r="CQ219" s="51"/>
      <c r="CR219" s="51"/>
      <c r="CS219" s="51"/>
      <c r="CT219" s="42" t="str">
        <f>IFERROR(('基本数据输入&amp;测算结果'!$C$19*7-AVERAGE(J219:AK219)*7-'基本数据输入&amp;测算结果'!$C$23*7)/'基本数据输入&amp;测算结果'!$C$21*'基本数据输入&amp;测算结果'!$C$22,"无数据/数据缺失")</f>
        <v>无数据/数据缺失</v>
      </c>
      <c r="CU219" s="42">
        <f>IF(CT219&lt;0,0,IF(CT219="无数据/数据缺失",0%,IF(CT219&gt;'基本数据输入&amp;测算结果'!$C$20,100%,CT219/'基本数据输入&amp;测算结果'!$C$20)))</f>
        <v>0</v>
      </c>
      <c r="CV219" s="42" t="str">
        <f>IFERROR((AVERAGE(AL219:AS219)*2-'基本数据输入&amp;测算结果'!$C$24*2)/'基本数据输入&amp;测算结果'!$C$21/'基本数据输入&amp;测算结果'!$C$22,"无数据/数据缺失")</f>
        <v>无数据/数据缺失</v>
      </c>
      <c r="CW219" s="42">
        <f>IF(CV219&lt;0,0,IF(CV219="无数据/数据缺失",0%,IF(CV219&gt;'基本数据输入&amp;测算结果'!$C$20*CU219,CU219,CV219/'基本数据输入&amp;测算结果'!$C$20*CU219)))</f>
        <v>0</v>
      </c>
      <c r="CX219" s="42" t="str">
        <f>IFERROR(('基本数据输入&amp;测算结果'!$C$19*2-AVERAGE(AT219:BA219)*2-'基本数据输入&amp;测算结果'!$C$23*2)/'基本数据输入&amp;测算结果'!$C$21*'基本数据输入&amp;测算结果'!$C$22,"无数据/数据缺失")</f>
        <v>无数据/数据缺失</v>
      </c>
      <c r="CY219" s="42">
        <f>IF(CX219&lt;0,0,IF(CX219="无数据/数据缺失",0%,IF(CX219&gt;'基本数据输入&amp;测算结果'!$C$20,100%,CX219/'基本数据输入&amp;测算结果'!$C$20)))</f>
        <v>0</v>
      </c>
      <c r="CZ219" s="42" t="str">
        <f>IFERROR((AVERAGE(BN219:CS219)*8-'基本数据输入&amp;测算结果'!$C$24*8)/'基本数据输入&amp;测算结果'!$C$21/'基本数据输入&amp;测算结果'!$C$22,"无数据/数据缺失")</f>
        <v>无数据/数据缺失</v>
      </c>
      <c r="DA219" s="42">
        <f>IF(CZ219&lt;0,0,IF(CZ219="无数据/数据缺失",0,IF('基本数据输入&amp;测算结果'!$C$20*CY219&gt;CZ219,CZ219/'基本数据输入&amp;测算结果'!$C$20*CY219,CY219)))</f>
        <v>0</v>
      </c>
      <c r="DB219" s="49">
        <f t="shared" si="11"/>
        <v>0</v>
      </c>
      <c r="DC219" s="50">
        <f>IF(DA219=0,0,IF(AVERAGE(CD219:CK219)*2&gt;'基本数据输入&amp;测算结果'!$C$20*DA219,100%,AVERAGE(CD219:CK219)*2/('基本数据输入&amp;测算结果'!$C$20*DA219)))</f>
        <v>0</v>
      </c>
      <c r="DD219" s="50"/>
      <c r="DE219"/>
      <c r="DF219"/>
      <c r="DG219"/>
      <c r="DH219"/>
      <c r="DI219"/>
    </row>
    <row r="220" customHeight="1" spans="1:113">
      <c r="A220" s="48" t="s">
        <v>274</v>
      </c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51"/>
      <c r="AI220" s="51"/>
      <c r="AJ220" s="51"/>
      <c r="AK220" s="51"/>
      <c r="AL220" s="51"/>
      <c r="AM220" s="51"/>
      <c r="AN220" s="51"/>
      <c r="AO220" s="51"/>
      <c r="AP220" s="51"/>
      <c r="AQ220" s="51"/>
      <c r="AR220" s="51"/>
      <c r="AS220" s="51"/>
      <c r="AT220" s="51"/>
      <c r="AU220" s="51"/>
      <c r="AV220" s="51"/>
      <c r="AW220" s="51"/>
      <c r="AX220" s="51"/>
      <c r="AY220" s="51"/>
      <c r="AZ220" s="51"/>
      <c r="BA220" s="51"/>
      <c r="BB220" s="51"/>
      <c r="BC220" s="51"/>
      <c r="BD220" s="51"/>
      <c r="BE220" s="51"/>
      <c r="BF220" s="51"/>
      <c r="BG220" s="51"/>
      <c r="BH220" s="51"/>
      <c r="BI220" s="51"/>
      <c r="BJ220" s="51"/>
      <c r="BK220" s="51"/>
      <c r="BL220" s="51"/>
      <c r="BM220" s="51"/>
      <c r="BN220" s="51"/>
      <c r="BO220" s="51"/>
      <c r="BP220" s="51"/>
      <c r="BQ220" s="51"/>
      <c r="BR220" s="51"/>
      <c r="BS220" s="51"/>
      <c r="BT220" s="51"/>
      <c r="BU220" s="51"/>
      <c r="BV220" s="51"/>
      <c r="BW220" s="51"/>
      <c r="BX220" s="51"/>
      <c r="BY220" s="51"/>
      <c r="BZ220" s="51"/>
      <c r="CA220" s="51"/>
      <c r="CB220" s="51"/>
      <c r="CC220" s="51"/>
      <c r="CD220" s="51"/>
      <c r="CE220" s="51"/>
      <c r="CF220" s="51"/>
      <c r="CG220" s="51"/>
      <c r="CH220" s="51"/>
      <c r="CI220" s="51"/>
      <c r="CJ220" s="51"/>
      <c r="CK220" s="51"/>
      <c r="CL220" s="51"/>
      <c r="CM220" s="51"/>
      <c r="CN220" s="51"/>
      <c r="CO220" s="51"/>
      <c r="CP220" s="51"/>
      <c r="CQ220" s="51"/>
      <c r="CR220" s="51"/>
      <c r="CS220" s="51"/>
      <c r="CT220" s="42" t="str">
        <f>IFERROR(('基本数据输入&amp;测算结果'!$C$19*7-AVERAGE(J220:AK220)*7-'基本数据输入&amp;测算结果'!$C$23*7)/'基本数据输入&amp;测算结果'!$C$21*'基本数据输入&amp;测算结果'!$C$22,"无数据/数据缺失")</f>
        <v>无数据/数据缺失</v>
      </c>
      <c r="CU220" s="42">
        <f>IF(CT220&lt;0,0,IF(CT220="无数据/数据缺失",0%,IF(CT220&gt;'基本数据输入&amp;测算结果'!$C$20,100%,CT220/'基本数据输入&amp;测算结果'!$C$20)))</f>
        <v>0</v>
      </c>
      <c r="CV220" s="42" t="str">
        <f>IFERROR((AVERAGE(AL220:AS220)*2-'基本数据输入&amp;测算结果'!$C$24*2)/'基本数据输入&amp;测算结果'!$C$21/'基本数据输入&amp;测算结果'!$C$22,"无数据/数据缺失")</f>
        <v>无数据/数据缺失</v>
      </c>
      <c r="CW220" s="42">
        <f>IF(CV220&lt;0,0,IF(CV220="无数据/数据缺失",0%,IF(CV220&gt;'基本数据输入&amp;测算结果'!$C$20*CU220,CU220,CV220/'基本数据输入&amp;测算结果'!$C$20*CU220)))</f>
        <v>0</v>
      </c>
      <c r="CX220" s="42" t="str">
        <f>IFERROR(('基本数据输入&amp;测算结果'!$C$19*2-AVERAGE(AT220:BA220)*2-'基本数据输入&amp;测算结果'!$C$23*2)/'基本数据输入&amp;测算结果'!$C$21*'基本数据输入&amp;测算结果'!$C$22,"无数据/数据缺失")</f>
        <v>无数据/数据缺失</v>
      </c>
      <c r="CY220" s="42">
        <f>IF(CX220&lt;0,0,IF(CX220="无数据/数据缺失",0%,IF(CX220&gt;'基本数据输入&amp;测算结果'!$C$20,100%,CX220/'基本数据输入&amp;测算结果'!$C$20)))</f>
        <v>0</v>
      </c>
      <c r="CZ220" s="42" t="str">
        <f>IFERROR((AVERAGE(BN220:CS220)*8-'基本数据输入&amp;测算结果'!$C$24*8)/'基本数据输入&amp;测算结果'!$C$21/'基本数据输入&amp;测算结果'!$C$22,"无数据/数据缺失")</f>
        <v>无数据/数据缺失</v>
      </c>
      <c r="DA220" s="42">
        <f>IF(CZ220&lt;0,0,IF(CZ220="无数据/数据缺失",0,IF('基本数据输入&amp;测算结果'!$C$20*CY220&gt;CZ220,CZ220/'基本数据输入&amp;测算结果'!$C$20*CY220,CY220)))</f>
        <v>0</v>
      </c>
      <c r="DB220" s="49">
        <f t="shared" si="11"/>
        <v>0</v>
      </c>
      <c r="DC220" s="50">
        <f>IF(DA220=0,0,IF(AVERAGE(CD220:CK220)*2&gt;'基本数据输入&amp;测算结果'!$C$20*DA220,100%,AVERAGE(CD220:CK220)*2/('基本数据输入&amp;测算结果'!$C$20*DA220)))</f>
        <v>0</v>
      </c>
      <c r="DD220" s="50"/>
      <c r="DE220"/>
      <c r="DF220"/>
      <c r="DG220"/>
      <c r="DH220"/>
      <c r="DI220"/>
    </row>
    <row r="221" customHeight="1" spans="1:113">
      <c r="A221" s="48" t="s">
        <v>275</v>
      </c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51"/>
      <c r="AJ221" s="51"/>
      <c r="AK221" s="51"/>
      <c r="AL221" s="51"/>
      <c r="AM221" s="51"/>
      <c r="AN221" s="51"/>
      <c r="AO221" s="51"/>
      <c r="AP221" s="51"/>
      <c r="AQ221" s="51"/>
      <c r="AR221" s="51"/>
      <c r="AS221" s="51"/>
      <c r="AT221" s="51"/>
      <c r="AU221" s="51"/>
      <c r="AV221" s="51"/>
      <c r="AW221" s="51"/>
      <c r="AX221" s="51"/>
      <c r="AY221" s="51"/>
      <c r="AZ221" s="51"/>
      <c r="BA221" s="51"/>
      <c r="BB221" s="51"/>
      <c r="BC221" s="51"/>
      <c r="BD221" s="51"/>
      <c r="BE221" s="51"/>
      <c r="BF221" s="51"/>
      <c r="BG221" s="51"/>
      <c r="BH221" s="51"/>
      <c r="BI221" s="51"/>
      <c r="BJ221" s="51"/>
      <c r="BK221" s="51"/>
      <c r="BL221" s="51"/>
      <c r="BM221" s="51"/>
      <c r="BN221" s="51"/>
      <c r="BO221" s="51"/>
      <c r="BP221" s="51"/>
      <c r="BQ221" s="51"/>
      <c r="BR221" s="51"/>
      <c r="BS221" s="51"/>
      <c r="BT221" s="51"/>
      <c r="BU221" s="51"/>
      <c r="BV221" s="51"/>
      <c r="BW221" s="51"/>
      <c r="BX221" s="51"/>
      <c r="BY221" s="51"/>
      <c r="BZ221" s="51"/>
      <c r="CA221" s="51"/>
      <c r="CB221" s="51"/>
      <c r="CC221" s="51"/>
      <c r="CD221" s="51"/>
      <c r="CE221" s="51"/>
      <c r="CF221" s="51"/>
      <c r="CG221" s="51"/>
      <c r="CH221" s="51"/>
      <c r="CI221" s="51"/>
      <c r="CJ221" s="51"/>
      <c r="CK221" s="51"/>
      <c r="CL221" s="51"/>
      <c r="CM221" s="51"/>
      <c r="CN221" s="51"/>
      <c r="CO221" s="51"/>
      <c r="CP221" s="51"/>
      <c r="CQ221" s="51"/>
      <c r="CR221" s="51"/>
      <c r="CS221" s="51"/>
      <c r="CT221" s="42" t="str">
        <f>IFERROR(('基本数据输入&amp;测算结果'!$C$19*7-AVERAGE(J221:AK221)*7-'基本数据输入&amp;测算结果'!$C$23*7)/'基本数据输入&amp;测算结果'!$C$21*'基本数据输入&amp;测算结果'!$C$22,"无数据/数据缺失")</f>
        <v>无数据/数据缺失</v>
      </c>
      <c r="CU221" s="42">
        <f>IF(CT221&lt;0,0,IF(CT221="无数据/数据缺失",0%,IF(CT221&gt;'基本数据输入&amp;测算结果'!$C$20,100%,CT221/'基本数据输入&amp;测算结果'!$C$20)))</f>
        <v>0</v>
      </c>
      <c r="CV221" s="42" t="str">
        <f>IFERROR((AVERAGE(AL221:AS221)*2-'基本数据输入&amp;测算结果'!$C$24*2)/'基本数据输入&amp;测算结果'!$C$21/'基本数据输入&amp;测算结果'!$C$22,"无数据/数据缺失")</f>
        <v>无数据/数据缺失</v>
      </c>
      <c r="CW221" s="42">
        <f>IF(CV221&lt;0,0,IF(CV221="无数据/数据缺失",0%,IF(CV221&gt;'基本数据输入&amp;测算结果'!$C$20*CU221,CU221,CV221/'基本数据输入&amp;测算结果'!$C$20*CU221)))</f>
        <v>0</v>
      </c>
      <c r="CX221" s="42" t="str">
        <f>IFERROR(('基本数据输入&amp;测算结果'!$C$19*2-AVERAGE(AT221:BA221)*2-'基本数据输入&amp;测算结果'!$C$23*2)/'基本数据输入&amp;测算结果'!$C$21*'基本数据输入&amp;测算结果'!$C$22,"无数据/数据缺失")</f>
        <v>无数据/数据缺失</v>
      </c>
      <c r="CY221" s="42">
        <f>IF(CX221&lt;0,0,IF(CX221="无数据/数据缺失",0%,IF(CX221&gt;'基本数据输入&amp;测算结果'!$C$20,100%,CX221/'基本数据输入&amp;测算结果'!$C$20)))</f>
        <v>0</v>
      </c>
      <c r="CZ221" s="42" t="str">
        <f>IFERROR((AVERAGE(BN221:CS221)*8-'基本数据输入&amp;测算结果'!$C$24*8)/'基本数据输入&amp;测算结果'!$C$21/'基本数据输入&amp;测算结果'!$C$22,"无数据/数据缺失")</f>
        <v>无数据/数据缺失</v>
      </c>
      <c r="DA221" s="42">
        <f>IF(CZ221&lt;0,0,IF(CZ221="无数据/数据缺失",0,IF('基本数据输入&amp;测算结果'!$C$20*CY221&gt;CZ221,CZ221/'基本数据输入&amp;测算结果'!$C$20*CY221,CY221)))</f>
        <v>0</v>
      </c>
      <c r="DB221" s="49">
        <f t="shared" si="11"/>
        <v>0</v>
      </c>
      <c r="DC221" s="50">
        <f>IF(DA221=0,0,IF(AVERAGE(CD221:CK221)*2&gt;'基本数据输入&amp;测算结果'!$C$20*DA221,100%,AVERAGE(CD221:CK221)*2/('基本数据输入&amp;测算结果'!$C$20*DA221)))</f>
        <v>0</v>
      </c>
      <c r="DD221" s="50"/>
      <c r="DE221"/>
      <c r="DF221"/>
      <c r="DG221"/>
      <c r="DH221"/>
      <c r="DI221"/>
    </row>
    <row r="222" customHeight="1" spans="1:113">
      <c r="A222" s="48" t="s">
        <v>276</v>
      </c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51"/>
      <c r="AN222" s="51"/>
      <c r="AO222" s="51"/>
      <c r="AP222" s="51"/>
      <c r="AQ222" s="51"/>
      <c r="AR222" s="51"/>
      <c r="AS222" s="51"/>
      <c r="AT222" s="51"/>
      <c r="AU222" s="51"/>
      <c r="AV222" s="51"/>
      <c r="AW222" s="51"/>
      <c r="AX222" s="51"/>
      <c r="AY222" s="51"/>
      <c r="AZ222" s="51"/>
      <c r="BA222" s="51"/>
      <c r="BB222" s="51"/>
      <c r="BC222" s="51"/>
      <c r="BD222" s="51"/>
      <c r="BE222" s="51"/>
      <c r="BF222" s="51"/>
      <c r="BG222" s="51"/>
      <c r="BH222" s="51"/>
      <c r="BI222" s="51"/>
      <c r="BJ222" s="51"/>
      <c r="BK222" s="51"/>
      <c r="BL222" s="51"/>
      <c r="BM222" s="51"/>
      <c r="BN222" s="51"/>
      <c r="BO222" s="51"/>
      <c r="BP222" s="51"/>
      <c r="BQ222" s="51"/>
      <c r="BR222" s="51"/>
      <c r="BS222" s="51"/>
      <c r="BT222" s="51"/>
      <c r="BU222" s="51"/>
      <c r="BV222" s="51"/>
      <c r="BW222" s="51"/>
      <c r="BX222" s="51"/>
      <c r="BY222" s="51"/>
      <c r="BZ222" s="51"/>
      <c r="CA222" s="51"/>
      <c r="CB222" s="51"/>
      <c r="CC222" s="51"/>
      <c r="CD222" s="51"/>
      <c r="CE222" s="51"/>
      <c r="CF222" s="51"/>
      <c r="CG222" s="51"/>
      <c r="CH222" s="51"/>
      <c r="CI222" s="51"/>
      <c r="CJ222" s="51"/>
      <c r="CK222" s="51"/>
      <c r="CL222" s="51"/>
      <c r="CM222" s="51"/>
      <c r="CN222" s="51"/>
      <c r="CO222" s="51"/>
      <c r="CP222" s="51"/>
      <c r="CQ222" s="51"/>
      <c r="CR222" s="51"/>
      <c r="CS222" s="51"/>
      <c r="CT222" s="42" t="str">
        <f>IFERROR(('基本数据输入&amp;测算结果'!$C$19*7-AVERAGE(J222:AK222)*7-'基本数据输入&amp;测算结果'!$C$23*7)/'基本数据输入&amp;测算结果'!$C$21*'基本数据输入&amp;测算结果'!$C$22,"无数据/数据缺失")</f>
        <v>无数据/数据缺失</v>
      </c>
      <c r="CU222" s="42">
        <f>IF(CT222&lt;0,0,IF(CT222="无数据/数据缺失",0%,IF(CT222&gt;'基本数据输入&amp;测算结果'!$C$20,100%,CT222/'基本数据输入&amp;测算结果'!$C$20)))</f>
        <v>0</v>
      </c>
      <c r="CV222" s="42" t="str">
        <f>IFERROR((AVERAGE(AL222:AS222)*2-'基本数据输入&amp;测算结果'!$C$24*2)/'基本数据输入&amp;测算结果'!$C$21/'基本数据输入&amp;测算结果'!$C$22,"无数据/数据缺失")</f>
        <v>无数据/数据缺失</v>
      </c>
      <c r="CW222" s="42">
        <f>IF(CV222&lt;0,0,IF(CV222="无数据/数据缺失",0%,IF(CV222&gt;'基本数据输入&amp;测算结果'!$C$20*CU222,CU222,CV222/'基本数据输入&amp;测算结果'!$C$20*CU222)))</f>
        <v>0</v>
      </c>
      <c r="CX222" s="42" t="str">
        <f>IFERROR(('基本数据输入&amp;测算结果'!$C$19*2-AVERAGE(AT222:BA222)*2-'基本数据输入&amp;测算结果'!$C$23*2)/'基本数据输入&amp;测算结果'!$C$21*'基本数据输入&amp;测算结果'!$C$22,"无数据/数据缺失")</f>
        <v>无数据/数据缺失</v>
      </c>
      <c r="CY222" s="42">
        <f>IF(CX222&lt;0,0,IF(CX222="无数据/数据缺失",0%,IF(CX222&gt;'基本数据输入&amp;测算结果'!$C$20,100%,CX222/'基本数据输入&amp;测算结果'!$C$20)))</f>
        <v>0</v>
      </c>
      <c r="CZ222" s="42" t="str">
        <f>IFERROR((AVERAGE(BN222:CS222)*8-'基本数据输入&amp;测算结果'!$C$24*8)/'基本数据输入&amp;测算结果'!$C$21/'基本数据输入&amp;测算结果'!$C$22,"无数据/数据缺失")</f>
        <v>无数据/数据缺失</v>
      </c>
      <c r="DA222" s="42">
        <f>IF(CZ222&lt;0,0,IF(CZ222="无数据/数据缺失",0,IF('基本数据输入&amp;测算结果'!$C$20*CY222&gt;CZ222,CZ222/'基本数据输入&amp;测算结果'!$C$20*CY222,CY222)))</f>
        <v>0</v>
      </c>
      <c r="DB222" s="49">
        <f t="shared" si="11"/>
        <v>0</v>
      </c>
      <c r="DC222" s="50">
        <f>IF(DA222=0,0,IF(AVERAGE(CD222:CK222)*2&gt;'基本数据输入&amp;测算结果'!$C$20*DA222,100%,AVERAGE(CD222:CK222)*2/('基本数据输入&amp;测算结果'!$C$20*DA222)))</f>
        <v>0</v>
      </c>
      <c r="DD222" s="50"/>
      <c r="DE222"/>
      <c r="DF222"/>
      <c r="DG222"/>
      <c r="DH222"/>
      <c r="DI222"/>
    </row>
    <row r="223" customHeight="1" spans="1:113">
      <c r="A223" s="48" t="s">
        <v>277</v>
      </c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  <c r="AK223" s="51"/>
      <c r="AL223" s="51"/>
      <c r="AM223" s="51"/>
      <c r="AN223" s="51"/>
      <c r="AO223" s="51"/>
      <c r="AP223" s="51"/>
      <c r="AQ223" s="51"/>
      <c r="AR223" s="51"/>
      <c r="AS223" s="51"/>
      <c r="AT223" s="51"/>
      <c r="AU223" s="51"/>
      <c r="AV223" s="51"/>
      <c r="AW223" s="51"/>
      <c r="AX223" s="51"/>
      <c r="AY223" s="51"/>
      <c r="AZ223" s="51"/>
      <c r="BA223" s="51"/>
      <c r="BB223" s="51"/>
      <c r="BC223" s="51"/>
      <c r="BD223" s="51"/>
      <c r="BE223" s="51"/>
      <c r="BF223" s="51"/>
      <c r="BG223" s="51"/>
      <c r="BH223" s="51"/>
      <c r="BI223" s="51"/>
      <c r="BJ223" s="51"/>
      <c r="BK223" s="51"/>
      <c r="BL223" s="51"/>
      <c r="BM223" s="51"/>
      <c r="BN223" s="51"/>
      <c r="BO223" s="51"/>
      <c r="BP223" s="51"/>
      <c r="BQ223" s="51"/>
      <c r="BR223" s="51"/>
      <c r="BS223" s="51"/>
      <c r="BT223" s="51"/>
      <c r="BU223" s="51"/>
      <c r="BV223" s="51"/>
      <c r="BW223" s="51"/>
      <c r="BX223" s="51"/>
      <c r="BY223" s="51"/>
      <c r="BZ223" s="51"/>
      <c r="CA223" s="51"/>
      <c r="CB223" s="51"/>
      <c r="CC223" s="51"/>
      <c r="CD223" s="51"/>
      <c r="CE223" s="51"/>
      <c r="CF223" s="51"/>
      <c r="CG223" s="51"/>
      <c r="CH223" s="51"/>
      <c r="CI223" s="51"/>
      <c r="CJ223" s="51"/>
      <c r="CK223" s="51"/>
      <c r="CL223" s="51"/>
      <c r="CM223" s="51"/>
      <c r="CN223" s="51"/>
      <c r="CO223" s="51"/>
      <c r="CP223" s="51"/>
      <c r="CQ223" s="51"/>
      <c r="CR223" s="51"/>
      <c r="CS223" s="51"/>
      <c r="CT223" s="42" t="str">
        <f>IFERROR(('基本数据输入&amp;测算结果'!$C$19*7-AVERAGE(J223:AK223)*7-'基本数据输入&amp;测算结果'!$C$23*7)/'基本数据输入&amp;测算结果'!$C$21*'基本数据输入&amp;测算结果'!$C$22,"无数据/数据缺失")</f>
        <v>无数据/数据缺失</v>
      </c>
      <c r="CU223" s="42">
        <f>IF(CT223&lt;0,0,IF(CT223="无数据/数据缺失",0%,IF(CT223&gt;'基本数据输入&amp;测算结果'!$C$20,100%,CT223/'基本数据输入&amp;测算结果'!$C$20)))</f>
        <v>0</v>
      </c>
      <c r="CV223" s="42" t="str">
        <f>IFERROR((AVERAGE(AL223:AS223)*2-'基本数据输入&amp;测算结果'!$C$24*2)/'基本数据输入&amp;测算结果'!$C$21/'基本数据输入&amp;测算结果'!$C$22,"无数据/数据缺失")</f>
        <v>无数据/数据缺失</v>
      </c>
      <c r="CW223" s="42">
        <f>IF(CV223&lt;0,0,IF(CV223="无数据/数据缺失",0%,IF(CV223&gt;'基本数据输入&amp;测算结果'!$C$20*CU223,CU223,CV223/'基本数据输入&amp;测算结果'!$C$20*CU223)))</f>
        <v>0</v>
      </c>
      <c r="CX223" s="42" t="str">
        <f>IFERROR(('基本数据输入&amp;测算结果'!$C$19*2-AVERAGE(AT223:BA223)*2-'基本数据输入&amp;测算结果'!$C$23*2)/'基本数据输入&amp;测算结果'!$C$21*'基本数据输入&amp;测算结果'!$C$22,"无数据/数据缺失")</f>
        <v>无数据/数据缺失</v>
      </c>
      <c r="CY223" s="42">
        <f>IF(CX223&lt;0,0,IF(CX223="无数据/数据缺失",0%,IF(CX223&gt;'基本数据输入&amp;测算结果'!$C$20,100%,CX223/'基本数据输入&amp;测算结果'!$C$20)))</f>
        <v>0</v>
      </c>
      <c r="CZ223" s="42" t="str">
        <f>IFERROR((AVERAGE(BN223:CS223)*8-'基本数据输入&amp;测算结果'!$C$24*8)/'基本数据输入&amp;测算结果'!$C$21/'基本数据输入&amp;测算结果'!$C$22,"无数据/数据缺失")</f>
        <v>无数据/数据缺失</v>
      </c>
      <c r="DA223" s="42">
        <f>IF(CZ223&lt;0,0,IF(CZ223="无数据/数据缺失",0,IF('基本数据输入&amp;测算结果'!$C$20*CY223&gt;CZ223,CZ223/'基本数据输入&amp;测算结果'!$C$20*CY223,CY223)))</f>
        <v>0</v>
      </c>
      <c r="DB223" s="49">
        <f t="shared" si="11"/>
        <v>0</v>
      </c>
      <c r="DC223" s="50">
        <f>IF(DA223=0,0,IF(AVERAGE(CD223:CK223)*2&gt;'基本数据输入&amp;测算结果'!$C$20*DA223,100%,AVERAGE(CD223:CK223)*2/('基本数据输入&amp;测算结果'!$C$20*DA223)))</f>
        <v>0</v>
      </c>
      <c r="DD223" s="50"/>
      <c r="DE223"/>
      <c r="DF223"/>
      <c r="DG223"/>
      <c r="DH223"/>
      <c r="DI223"/>
    </row>
    <row r="224" customHeight="1" spans="1:113">
      <c r="A224" s="48" t="s">
        <v>278</v>
      </c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  <c r="AI224" s="51"/>
      <c r="AJ224" s="51"/>
      <c r="AK224" s="51"/>
      <c r="AL224" s="51"/>
      <c r="AM224" s="51"/>
      <c r="AN224" s="51"/>
      <c r="AO224" s="51"/>
      <c r="AP224" s="51"/>
      <c r="AQ224" s="51"/>
      <c r="AR224" s="51"/>
      <c r="AS224" s="51"/>
      <c r="AT224" s="51"/>
      <c r="AU224" s="51"/>
      <c r="AV224" s="51"/>
      <c r="AW224" s="51"/>
      <c r="AX224" s="51"/>
      <c r="AY224" s="51"/>
      <c r="AZ224" s="51"/>
      <c r="BA224" s="51"/>
      <c r="BB224" s="51"/>
      <c r="BC224" s="51"/>
      <c r="BD224" s="51"/>
      <c r="BE224" s="51"/>
      <c r="BF224" s="51"/>
      <c r="BG224" s="51"/>
      <c r="BH224" s="51"/>
      <c r="BI224" s="51"/>
      <c r="BJ224" s="51"/>
      <c r="BK224" s="51"/>
      <c r="BL224" s="51"/>
      <c r="BM224" s="51"/>
      <c r="BN224" s="51"/>
      <c r="BO224" s="51"/>
      <c r="BP224" s="51"/>
      <c r="BQ224" s="51"/>
      <c r="BR224" s="51"/>
      <c r="BS224" s="51"/>
      <c r="BT224" s="51"/>
      <c r="BU224" s="51"/>
      <c r="BV224" s="51"/>
      <c r="BW224" s="51"/>
      <c r="BX224" s="51"/>
      <c r="BY224" s="51"/>
      <c r="BZ224" s="51"/>
      <c r="CA224" s="51"/>
      <c r="CB224" s="51"/>
      <c r="CC224" s="51"/>
      <c r="CD224" s="51"/>
      <c r="CE224" s="51"/>
      <c r="CF224" s="51"/>
      <c r="CG224" s="51"/>
      <c r="CH224" s="51"/>
      <c r="CI224" s="51"/>
      <c r="CJ224" s="51"/>
      <c r="CK224" s="51"/>
      <c r="CL224" s="51"/>
      <c r="CM224" s="51"/>
      <c r="CN224" s="51"/>
      <c r="CO224" s="51"/>
      <c r="CP224" s="51"/>
      <c r="CQ224" s="51"/>
      <c r="CR224" s="51"/>
      <c r="CS224" s="51"/>
      <c r="CT224" s="42" t="str">
        <f>IFERROR(('基本数据输入&amp;测算结果'!$C$19*7-AVERAGE(J224:AK224)*7-'基本数据输入&amp;测算结果'!$C$23*7)/'基本数据输入&amp;测算结果'!$C$21*'基本数据输入&amp;测算结果'!$C$22,"无数据/数据缺失")</f>
        <v>无数据/数据缺失</v>
      </c>
      <c r="CU224" s="42">
        <f>IF(CT224&lt;0,0,IF(CT224="无数据/数据缺失",0%,IF(CT224&gt;'基本数据输入&amp;测算结果'!$C$20,100%,CT224/'基本数据输入&amp;测算结果'!$C$20)))</f>
        <v>0</v>
      </c>
      <c r="CV224" s="42" t="str">
        <f>IFERROR((AVERAGE(AL224:AS224)*2-'基本数据输入&amp;测算结果'!$C$24*2)/'基本数据输入&amp;测算结果'!$C$21/'基本数据输入&amp;测算结果'!$C$22,"无数据/数据缺失")</f>
        <v>无数据/数据缺失</v>
      </c>
      <c r="CW224" s="42">
        <f>IF(CV224&lt;0,0,IF(CV224="无数据/数据缺失",0%,IF(CV224&gt;'基本数据输入&amp;测算结果'!$C$20*CU224,CU224,CV224/'基本数据输入&amp;测算结果'!$C$20*CU224)))</f>
        <v>0</v>
      </c>
      <c r="CX224" s="42" t="str">
        <f>IFERROR(('基本数据输入&amp;测算结果'!$C$19*2-AVERAGE(AT224:BA224)*2-'基本数据输入&amp;测算结果'!$C$23*2)/'基本数据输入&amp;测算结果'!$C$21*'基本数据输入&amp;测算结果'!$C$22,"无数据/数据缺失")</f>
        <v>无数据/数据缺失</v>
      </c>
      <c r="CY224" s="42">
        <f>IF(CX224&lt;0,0,IF(CX224="无数据/数据缺失",0%,IF(CX224&gt;'基本数据输入&amp;测算结果'!$C$20,100%,CX224/'基本数据输入&amp;测算结果'!$C$20)))</f>
        <v>0</v>
      </c>
      <c r="CZ224" s="42" t="str">
        <f>IFERROR((AVERAGE(BN224:CS224)*8-'基本数据输入&amp;测算结果'!$C$24*8)/'基本数据输入&amp;测算结果'!$C$21/'基本数据输入&amp;测算结果'!$C$22,"无数据/数据缺失")</f>
        <v>无数据/数据缺失</v>
      </c>
      <c r="DA224" s="42">
        <f>IF(CZ224&lt;0,0,IF(CZ224="无数据/数据缺失",0,IF('基本数据输入&amp;测算结果'!$C$20*CY224&gt;CZ224,CZ224/'基本数据输入&amp;测算结果'!$C$20*CY224,CY224)))</f>
        <v>0</v>
      </c>
      <c r="DB224" s="49">
        <f t="shared" si="11"/>
        <v>0</v>
      </c>
      <c r="DC224" s="50">
        <f>IF(DA224=0,0,IF(AVERAGE(CD224:CK224)*2&gt;'基本数据输入&amp;测算结果'!$C$20*DA224,100%,AVERAGE(CD224:CK224)*2/('基本数据输入&amp;测算结果'!$C$20*DA224)))</f>
        <v>0</v>
      </c>
      <c r="DD224" s="50"/>
      <c r="DE224"/>
      <c r="DF224"/>
      <c r="DG224"/>
      <c r="DH224"/>
      <c r="DI224"/>
    </row>
    <row r="225" customHeight="1" spans="1:113">
      <c r="A225" s="48" t="s">
        <v>279</v>
      </c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1"/>
      <c r="AN225" s="51"/>
      <c r="AO225" s="51"/>
      <c r="AP225" s="51"/>
      <c r="AQ225" s="51"/>
      <c r="AR225" s="51"/>
      <c r="AS225" s="51"/>
      <c r="AT225" s="51"/>
      <c r="AU225" s="51"/>
      <c r="AV225" s="51"/>
      <c r="AW225" s="51"/>
      <c r="AX225" s="51"/>
      <c r="AY225" s="51"/>
      <c r="AZ225" s="51"/>
      <c r="BA225" s="51"/>
      <c r="BB225" s="51"/>
      <c r="BC225" s="51"/>
      <c r="BD225" s="51"/>
      <c r="BE225" s="51"/>
      <c r="BF225" s="51"/>
      <c r="BG225" s="51"/>
      <c r="BH225" s="51"/>
      <c r="BI225" s="51"/>
      <c r="BJ225" s="51"/>
      <c r="BK225" s="51"/>
      <c r="BL225" s="51"/>
      <c r="BM225" s="51"/>
      <c r="BN225" s="51"/>
      <c r="BO225" s="51"/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1"/>
      <c r="CA225" s="51"/>
      <c r="CB225" s="51"/>
      <c r="CC225" s="51"/>
      <c r="CD225" s="51"/>
      <c r="CE225" s="51"/>
      <c r="CF225" s="51"/>
      <c r="CG225" s="51"/>
      <c r="CH225" s="51"/>
      <c r="CI225" s="51"/>
      <c r="CJ225" s="51"/>
      <c r="CK225" s="51"/>
      <c r="CL225" s="51"/>
      <c r="CM225" s="51"/>
      <c r="CN225" s="51"/>
      <c r="CO225" s="51"/>
      <c r="CP225" s="51"/>
      <c r="CQ225" s="51"/>
      <c r="CR225" s="51"/>
      <c r="CS225" s="51"/>
      <c r="CT225" s="42" t="str">
        <f>IFERROR(('基本数据输入&amp;测算结果'!$C$19*7-AVERAGE(J225:AK225)*7-'基本数据输入&amp;测算结果'!$C$23*7)/'基本数据输入&amp;测算结果'!$C$21*'基本数据输入&amp;测算结果'!$C$22,"无数据/数据缺失")</f>
        <v>无数据/数据缺失</v>
      </c>
      <c r="CU225" s="42">
        <f>IF(CT225&lt;0,0,IF(CT225="无数据/数据缺失",0%,IF(CT225&gt;'基本数据输入&amp;测算结果'!$C$20,100%,CT225/'基本数据输入&amp;测算结果'!$C$20)))</f>
        <v>0</v>
      </c>
      <c r="CV225" s="42" t="str">
        <f>IFERROR((AVERAGE(AL225:AS225)*2-'基本数据输入&amp;测算结果'!$C$24*2)/'基本数据输入&amp;测算结果'!$C$21/'基本数据输入&amp;测算结果'!$C$22,"无数据/数据缺失")</f>
        <v>无数据/数据缺失</v>
      </c>
      <c r="CW225" s="42">
        <f>IF(CV225&lt;0,0,IF(CV225="无数据/数据缺失",0%,IF(CV225&gt;'基本数据输入&amp;测算结果'!$C$20*CU225,CU225,CV225/'基本数据输入&amp;测算结果'!$C$20*CU225)))</f>
        <v>0</v>
      </c>
      <c r="CX225" s="42" t="str">
        <f>IFERROR(('基本数据输入&amp;测算结果'!$C$19*2-AVERAGE(AT225:BA225)*2-'基本数据输入&amp;测算结果'!$C$23*2)/'基本数据输入&amp;测算结果'!$C$21*'基本数据输入&amp;测算结果'!$C$22,"无数据/数据缺失")</f>
        <v>无数据/数据缺失</v>
      </c>
      <c r="CY225" s="42">
        <f>IF(CX225&lt;0,0,IF(CX225="无数据/数据缺失",0%,IF(CX225&gt;'基本数据输入&amp;测算结果'!$C$20,100%,CX225/'基本数据输入&amp;测算结果'!$C$20)))</f>
        <v>0</v>
      </c>
      <c r="CZ225" s="42" t="str">
        <f>IFERROR((AVERAGE(BN225:CS225)*8-'基本数据输入&amp;测算结果'!$C$24*8)/'基本数据输入&amp;测算结果'!$C$21/'基本数据输入&amp;测算结果'!$C$22,"无数据/数据缺失")</f>
        <v>无数据/数据缺失</v>
      </c>
      <c r="DA225" s="42">
        <f>IF(CZ225&lt;0,0,IF(CZ225="无数据/数据缺失",0,IF('基本数据输入&amp;测算结果'!$C$20*CY225&gt;CZ225,CZ225/'基本数据输入&amp;测算结果'!$C$20*CY225,CY225)))</f>
        <v>0</v>
      </c>
      <c r="DB225" s="49">
        <f t="shared" si="11"/>
        <v>0</v>
      </c>
      <c r="DC225" s="50">
        <f>IF(DA225=0,0,IF(AVERAGE(CD225:CK225)*2&gt;'基本数据输入&amp;测算结果'!$C$20*DA225,100%,AVERAGE(CD225:CK225)*2/('基本数据输入&amp;测算结果'!$C$20*DA225)))</f>
        <v>0</v>
      </c>
      <c r="DD225" s="50"/>
      <c r="DE225"/>
      <c r="DF225"/>
      <c r="DG225"/>
      <c r="DH225"/>
      <c r="DI225"/>
    </row>
    <row r="226" customHeight="1" spans="1:113">
      <c r="A226" s="48" t="s">
        <v>280</v>
      </c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1"/>
      <c r="AM226" s="51"/>
      <c r="AN226" s="51"/>
      <c r="AO226" s="51"/>
      <c r="AP226" s="51"/>
      <c r="AQ226" s="51"/>
      <c r="AR226" s="51"/>
      <c r="AS226" s="51"/>
      <c r="AT226" s="51"/>
      <c r="AU226" s="51"/>
      <c r="AV226" s="51"/>
      <c r="AW226" s="51"/>
      <c r="AX226" s="51"/>
      <c r="AY226" s="51"/>
      <c r="AZ226" s="51"/>
      <c r="BA226" s="51"/>
      <c r="BB226" s="51"/>
      <c r="BC226" s="51"/>
      <c r="BD226" s="51"/>
      <c r="BE226" s="51"/>
      <c r="BF226" s="51"/>
      <c r="BG226" s="51"/>
      <c r="BH226" s="51"/>
      <c r="BI226" s="51"/>
      <c r="BJ226" s="51"/>
      <c r="BK226" s="51"/>
      <c r="BL226" s="51"/>
      <c r="BM226" s="51"/>
      <c r="BN226" s="51"/>
      <c r="BO226" s="51"/>
      <c r="BP226" s="51"/>
      <c r="BQ226" s="51"/>
      <c r="BR226" s="51"/>
      <c r="BS226" s="51"/>
      <c r="BT226" s="51"/>
      <c r="BU226" s="51"/>
      <c r="BV226" s="51"/>
      <c r="BW226" s="51"/>
      <c r="BX226" s="51"/>
      <c r="BY226" s="51"/>
      <c r="BZ226" s="51"/>
      <c r="CA226" s="51"/>
      <c r="CB226" s="51"/>
      <c r="CC226" s="51"/>
      <c r="CD226" s="51"/>
      <c r="CE226" s="51"/>
      <c r="CF226" s="51"/>
      <c r="CG226" s="51"/>
      <c r="CH226" s="51"/>
      <c r="CI226" s="51"/>
      <c r="CJ226" s="51"/>
      <c r="CK226" s="51"/>
      <c r="CL226" s="51"/>
      <c r="CM226" s="51"/>
      <c r="CN226" s="51"/>
      <c r="CO226" s="51"/>
      <c r="CP226" s="51"/>
      <c r="CQ226" s="51"/>
      <c r="CR226" s="51"/>
      <c r="CS226" s="51"/>
      <c r="CT226" s="42" t="str">
        <f>IFERROR(('基本数据输入&amp;测算结果'!$C$19*7-AVERAGE(J226:AK226)*7-'基本数据输入&amp;测算结果'!$C$23*7)/'基本数据输入&amp;测算结果'!$C$21*'基本数据输入&amp;测算结果'!$C$22,"无数据/数据缺失")</f>
        <v>无数据/数据缺失</v>
      </c>
      <c r="CU226" s="42">
        <f>IF(CT226&lt;0,0,IF(CT226="无数据/数据缺失",0%,IF(CT226&gt;'基本数据输入&amp;测算结果'!$C$20,100%,CT226/'基本数据输入&amp;测算结果'!$C$20)))</f>
        <v>0</v>
      </c>
      <c r="CV226" s="42" t="str">
        <f>IFERROR((AVERAGE(AL226:AS226)*2-'基本数据输入&amp;测算结果'!$C$24*2)/'基本数据输入&amp;测算结果'!$C$21/'基本数据输入&amp;测算结果'!$C$22,"无数据/数据缺失")</f>
        <v>无数据/数据缺失</v>
      </c>
      <c r="CW226" s="42">
        <f>IF(CV226&lt;0,0,IF(CV226="无数据/数据缺失",0%,IF(CV226&gt;'基本数据输入&amp;测算结果'!$C$20*CU226,CU226,CV226/'基本数据输入&amp;测算结果'!$C$20*CU226)))</f>
        <v>0</v>
      </c>
      <c r="CX226" s="42" t="str">
        <f>IFERROR(('基本数据输入&amp;测算结果'!$C$19*2-AVERAGE(AT226:BA226)*2-'基本数据输入&amp;测算结果'!$C$23*2)/'基本数据输入&amp;测算结果'!$C$21*'基本数据输入&amp;测算结果'!$C$22,"无数据/数据缺失")</f>
        <v>无数据/数据缺失</v>
      </c>
      <c r="CY226" s="42">
        <f>IF(CX226&lt;0,0,IF(CX226="无数据/数据缺失",0%,IF(CX226&gt;'基本数据输入&amp;测算结果'!$C$20,100%,CX226/'基本数据输入&amp;测算结果'!$C$20)))</f>
        <v>0</v>
      </c>
      <c r="CZ226" s="42" t="str">
        <f>IFERROR((AVERAGE(BN226:CS226)*8-'基本数据输入&amp;测算结果'!$C$24*8)/'基本数据输入&amp;测算结果'!$C$21/'基本数据输入&amp;测算结果'!$C$22,"无数据/数据缺失")</f>
        <v>无数据/数据缺失</v>
      </c>
      <c r="DA226" s="42">
        <f>IF(CZ226&lt;0,0,IF(CZ226="无数据/数据缺失",0,IF('基本数据输入&amp;测算结果'!$C$20*CY226&gt;CZ226,CZ226/'基本数据输入&amp;测算结果'!$C$20*CY226,CY226)))</f>
        <v>0</v>
      </c>
      <c r="DB226" s="49">
        <f t="shared" si="11"/>
        <v>0</v>
      </c>
      <c r="DC226" s="50">
        <f>IF(DA226=0,0,IF(AVERAGE(CD226:CK226)*2&gt;'基本数据输入&amp;测算结果'!$C$20*DA226,100%,AVERAGE(CD226:CK226)*2/('基本数据输入&amp;测算结果'!$C$20*DA226)))</f>
        <v>0</v>
      </c>
      <c r="DD226" s="50"/>
      <c r="DE226"/>
      <c r="DF226"/>
      <c r="DG226"/>
      <c r="DH226"/>
      <c r="DI226"/>
    </row>
    <row r="227" customHeight="1" spans="1:113">
      <c r="A227" s="48" t="s">
        <v>281</v>
      </c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1"/>
      <c r="AM227" s="51"/>
      <c r="AN227" s="51"/>
      <c r="AO227" s="51"/>
      <c r="AP227" s="51"/>
      <c r="AQ227" s="51"/>
      <c r="AR227" s="51"/>
      <c r="AS227" s="51"/>
      <c r="AT227" s="51"/>
      <c r="AU227" s="51"/>
      <c r="AV227" s="51"/>
      <c r="AW227" s="51"/>
      <c r="AX227" s="51"/>
      <c r="AY227" s="51"/>
      <c r="AZ227" s="51"/>
      <c r="BA227" s="51"/>
      <c r="BB227" s="51"/>
      <c r="BC227" s="51"/>
      <c r="BD227" s="51"/>
      <c r="BE227" s="51"/>
      <c r="BF227" s="51"/>
      <c r="BG227" s="51"/>
      <c r="BH227" s="51"/>
      <c r="BI227" s="51"/>
      <c r="BJ227" s="51"/>
      <c r="BK227" s="51"/>
      <c r="BL227" s="51"/>
      <c r="BM227" s="51"/>
      <c r="BN227" s="51"/>
      <c r="BO227" s="51"/>
      <c r="BP227" s="51"/>
      <c r="BQ227" s="51"/>
      <c r="BR227" s="51"/>
      <c r="BS227" s="51"/>
      <c r="BT227" s="51"/>
      <c r="BU227" s="51"/>
      <c r="BV227" s="51"/>
      <c r="BW227" s="51"/>
      <c r="BX227" s="51"/>
      <c r="BY227" s="51"/>
      <c r="BZ227" s="51"/>
      <c r="CA227" s="51"/>
      <c r="CB227" s="51"/>
      <c r="CC227" s="51"/>
      <c r="CD227" s="51"/>
      <c r="CE227" s="51"/>
      <c r="CF227" s="51"/>
      <c r="CG227" s="51"/>
      <c r="CH227" s="51"/>
      <c r="CI227" s="51"/>
      <c r="CJ227" s="51"/>
      <c r="CK227" s="51"/>
      <c r="CL227" s="51"/>
      <c r="CM227" s="51"/>
      <c r="CN227" s="51"/>
      <c r="CO227" s="51"/>
      <c r="CP227" s="51"/>
      <c r="CQ227" s="51"/>
      <c r="CR227" s="51"/>
      <c r="CS227" s="51"/>
      <c r="CT227" s="42" t="str">
        <f>IFERROR(('基本数据输入&amp;测算结果'!$C$19*7-AVERAGE(J227:AK227)*7-'基本数据输入&amp;测算结果'!$C$23*7)/'基本数据输入&amp;测算结果'!$C$21*'基本数据输入&amp;测算结果'!$C$22,"无数据/数据缺失")</f>
        <v>无数据/数据缺失</v>
      </c>
      <c r="CU227" s="42">
        <f>IF(CT227&lt;0,0,IF(CT227="无数据/数据缺失",0%,IF(CT227&gt;'基本数据输入&amp;测算结果'!$C$20,100%,CT227/'基本数据输入&amp;测算结果'!$C$20)))</f>
        <v>0</v>
      </c>
      <c r="CV227" s="42" t="str">
        <f>IFERROR((AVERAGE(AL227:AS227)*2-'基本数据输入&amp;测算结果'!$C$24*2)/'基本数据输入&amp;测算结果'!$C$21/'基本数据输入&amp;测算结果'!$C$22,"无数据/数据缺失")</f>
        <v>无数据/数据缺失</v>
      </c>
      <c r="CW227" s="42">
        <f>IF(CV227&lt;0,0,IF(CV227="无数据/数据缺失",0%,IF(CV227&gt;'基本数据输入&amp;测算结果'!$C$20*CU227,CU227,CV227/'基本数据输入&amp;测算结果'!$C$20*CU227)))</f>
        <v>0</v>
      </c>
      <c r="CX227" s="42" t="str">
        <f>IFERROR(('基本数据输入&amp;测算结果'!$C$19*2-AVERAGE(AT227:BA227)*2-'基本数据输入&amp;测算结果'!$C$23*2)/'基本数据输入&amp;测算结果'!$C$21*'基本数据输入&amp;测算结果'!$C$22,"无数据/数据缺失")</f>
        <v>无数据/数据缺失</v>
      </c>
      <c r="CY227" s="42">
        <f>IF(CX227&lt;0,0,IF(CX227="无数据/数据缺失",0%,IF(CX227&gt;'基本数据输入&amp;测算结果'!$C$20,100%,CX227/'基本数据输入&amp;测算结果'!$C$20)))</f>
        <v>0</v>
      </c>
      <c r="CZ227" s="42" t="str">
        <f>IFERROR((AVERAGE(BN227:CS227)*8-'基本数据输入&amp;测算结果'!$C$24*8)/'基本数据输入&amp;测算结果'!$C$21/'基本数据输入&amp;测算结果'!$C$22,"无数据/数据缺失")</f>
        <v>无数据/数据缺失</v>
      </c>
      <c r="DA227" s="42">
        <f>IF(CZ227&lt;0,0,IF(CZ227="无数据/数据缺失",0,IF('基本数据输入&amp;测算结果'!$C$20*CY227&gt;CZ227,CZ227/'基本数据输入&amp;测算结果'!$C$20*CY227,CY227)))</f>
        <v>0</v>
      </c>
      <c r="DB227" s="49">
        <f t="shared" si="11"/>
        <v>0</v>
      </c>
      <c r="DC227" s="50">
        <f>IF(DA227=0,0,IF(AVERAGE(CD227:CK227)*2&gt;'基本数据输入&amp;测算结果'!$C$20*DA227,100%,AVERAGE(CD227:CK227)*2/('基本数据输入&amp;测算结果'!$C$20*DA227)))</f>
        <v>0</v>
      </c>
      <c r="DD227" s="50"/>
      <c r="DE227"/>
      <c r="DF227"/>
      <c r="DG227"/>
      <c r="DH227"/>
      <c r="DI227"/>
    </row>
    <row r="228" customHeight="1" spans="1:113">
      <c r="A228" s="48" t="s">
        <v>282</v>
      </c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1"/>
      <c r="AM228" s="51"/>
      <c r="AN228" s="51"/>
      <c r="AO228" s="51"/>
      <c r="AP228" s="51"/>
      <c r="AQ228" s="51"/>
      <c r="AR228" s="51"/>
      <c r="AS228" s="51"/>
      <c r="AT228" s="51"/>
      <c r="AU228" s="51"/>
      <c r="AV228" s="51"/>
      <c r="AW228" s="51"/>
      <c r="AX228" s="51"/>
      <c r="AY228" s="51"/>
      <c r="AZ228" s="51"/>
      <c r="BA228" s="51"/>
      <c r="BB228" s="51"/>
      <c r="BC228" s="51"/>
      <c r="BD228" s="51"/>
      <c r="BE228" s="51"/>
      <c r="BF228" s="51"/>
      <c r="BG228" s="51"/>
      <c r="BH228" s="51"/>
      <c r="BI228" s="51"/>
      <c r="BJ228" s="51"/>
      <c r="BK228" s="51"/>
      <c r="BL228" s="51"/>
      <c r="BM228" s="51"/>
      <c r="BN228" s="51"/>
      <c r="BO228" s="51"/>
      <c r="BP228" s="51"/>
      <c r="BQ228" s="51"/>
      <c r="BR228" s="51"/>
      <c r="BS228" s="51"/>
      <c r="BT228" s="51"/>
      <c r="BU228" s="51"/>
      <c r="BV228" s="51"/>
      <c r="BW228" s="51"/>
      <c r="BX228" s="51"/>
      <c r="BY228" s="51"/>
      <c r="BZ228" s="51"/>
      <c r="CA228" s="51"/>
      <c r="CB228" s="51"/>
      <c r="CC228" s="51"/>
      <c r="CD228" s="51"/>
      <c r="CE228" s="51"/>
      <c r="CF228" s="51"/>
      <c r="CG228" s="51"/>
      <c r="CH228" s="51"/>
      <c r="CI228" s="51"/>
      <c r="CJ228" s="51"/>
      <c r="CK228" s="51"/>
      <c r="CL228" s="51"/>
      <c r="CM228" s="51"/>
      <c r="CN228" s="51"/>
      <c r="CO228" s="51"/>
      <c r="CP228" s="51"/>
      <c r="CQ228" s="51"/>
      <c r="CR228" s="51"/>
      <c r="CS228" s="51"/>
      <c r="CT228" s="42" t="str">
        <f>IFERROR(('基本数据输入&amp;测算结果'!$C$19*7-AVERAGE(J228:AK228)*7-'基本数据输入&amp;测算结果'!$C$23*7)/'基本数据输入&amp;测算结果'!$C$21*'基本数据输入&amp;测算结果'!$C$22,"无数据/数据缺失")</f>
        <v>无数据/数据缺失</v>
      </c>
      <c r="CU228" s="42">
        <f>IF(CT228&lt;0,0,IF(CT228="无数据/数据缺失",0%,IF(CT228&gt;'基本数据输入&amp;测算结果'!$C$20,100%,CT228/'基本数据输入&amp;测算结果'!$C$20)))</f>
        <v>0</v>
      </c>
      <c r="CV228" s="42" t="str">
        <f>IFERROR((AVERAGE(AL228:AS228)*2-'基本数据输入&amp;测算结果'!$C$24*2)/'基本数据输入&amp;测算结果'!$C$21/'基本数据输入&amp;测算结果'!$C$22,"无数据/数据缺失")</f>
        <v>无数据/数据缺失</v>
      </c>
      <c r="CW228" s="42">
        <f>IF(CV228&lt;0,0,IF(CV228="无数据/数据缺失",0%,IF(CV228&gt;'基本数据输入&amp;测算结果'!$C$20*CU228,CU228,CV228/'基本数据输入&amp;测算结果'!$C$20*CU228)))</f>
        <v>0</v>
      </c>
      <c r="CX228" s="42" t="str">
        <f>IFERROR(('基本数据输入&amp;测算结果'!$C$19*2-AVERAGE(AT228:BA228)*2-'基本数据输入&amp;测算结果'!$C$23*2)/'基本数据输入&amp;测算结果'!$C$21*'基本数据输入&amp;测算结果'!$C$22,"无数据/数据缺失")</f>
        <v>无数据/数据缺失</v>
      </c>
      <c r="CY228" s="42">
        <f>IF(CX228&lt;0,0,IF(CX228="无数据/数据缺失",0%,IF(CX228&gt;'基本数据输入&amp;测算结果'!$C$20,100%,CX228/'基本数据输入&amp;测算结果'!$C$20)))</f>
        <v>0</v>
      </c>
      <c r="CZ228" s="42" t="str">
        <f>IFERROR((AVERAGE(BN228:CS228)*8-'基本数据输入&amp;测算结果'!$C$24*8)/'基本数据输入&amp;测算结果'!$C$21/'基本数据输入&amp;测算结果'!$C$22,"无数据/数据缺失")</f>
        <v>无数据/数据缺失</v>
      </c>
      <c r="DA228" s="42">
        <f>IF(CZ228&lt;0,0,IF(CZ228="无数据/数据缺失",0,IF('基本数据输入&amp;测算结果'!$C$20*CY228&gt;CZ228,CZ228/'基本数据输入&amp;测算结果'!$C$20*CY228,CY228)))</f>
        <v>0</v>
      </c>
      <c r="DB228" s="49">
        <f t="shared" si="11"/>
        <v>0</v>
      </c>
      <c r="DC228" s="50">
        <f>IF(DA228=0,0,IF(AVERAGE(CD228:CK228)*2&gt;'基本数据输入&amp;测算结果'!$C$20*DA228,100%,AVERAGE(CD228:CK228)*2/('基本数据输入&amp;测算结果'!$C$20*DA228)))</f>
        <v>0</v>
      </c>
      <c r="DD228" s="50"/>
      <c r="DE228"/>
      <c r="DF228"/>
      <c r="DG228"/>
      <c r="DH228"/>
      <c r="DI228"/>
    </row>
    <row r="229" customHeight="1" spans="1:113">
      <c r="A229" s="48" t="s">
        <v>283</v>
      </c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1"/>
      <c r="AM229" s="51"/>
      <c r="AN229" s="51"/>
      <c r="AO229" s="51"/>
      <c r="AP229" s="51"/>
      <c r="AQ229" s="51"/>
      <c r="AR229" s="51"/>
      <c r="AS229" s="51"/>
      <c r="AT229" s="51"/>
      <c r="AU229" s="51"/>
      <c r="AV229" s="51"/>
      <c r="AW229" s="51"/>
      <c r="AX229" s="51"/>
      <c r="AY229" s="51"/>
      <c r="AZ229" s="51"/>
      <c r="BA229" s="51"/>
      <c r="BB229" s="51"/>
      <c r="BC229" s="51"/>
      <c r="BD229" s="51"/>
      <c r="BE229" s="51"/>
      <c r="BF229" s="51"/>
      <c r="BG229" s="51"/>
      <c r="BH229" s="51"/>
      <c r="BI229" s="51"/>
      <c r="BJ229" s="51"/>
      <c r="BK229" s="51"/>
      <c r="BL229" s="51"/>
      <c r="BM229" s="51"/>
      <c r="BN229" s="51"/>
      <c r="BO229" s="51"/>
      <c r="BP229" s="51"/>
      <c r="BQ229" s="51"/>
      <c r="BR229" s="51"/>
      <c r="BS229" s="51"/>
      <c r="BT229" s="51"/>
      <c r="BU229" s="51"/>
      <c r="BV229" s="51"/>
      <c r="BW229" s="51"/>
      <c r="BX229" s="51"/>
      <c r="BY229" s="51"/>
      <c r="BZ229" s="51"/>
      <c r="CA229" s="51"/>
      <c r="CB229" s="51"/>
      <c r="CC229" s="51"/>
      <c r="CD229" s="51"/>
      <c r="CE229" s="51"/>
      <c r="CF229" s="51"/>
      <c r="CG229" s="51"/>
      <c r="CH229" s="51"/>
      <c r="CI229" s="51"/>
      <c r="CJ229" s="51"/>
      <c r="CK229" s="51"/>
      <c r="CL229" s="51"/>
      <c r="CM229" s="51"/>
      <c r="CN229" s="51"/>
      <c r="CO229" s="51"/>
      <c r="CP229" s="51"/>
      <c r="CQ229" s="51"/>
      <c r="CR229" s="51"/>
      <c r="CS229" s="51"/>
      <c r="CT229" s="42" t="str">
        <f>IFERROR(('基本数据输入&amp;测算结果'!$C$19*7-AVERAGE(J229:AK229)*7-'基本数据输入&amp;测算结果'!$C$23*7)/'基本数据输入&amp;测算结果'!$C$21*'基本数据输入&amp;测算结果'!$C$22,"无数据/数据缺失")</f>
        <v>无数据/数据缺失</v>
      </c>
      <c r="CU229" s="42">
        <f>IF(CT229&lt;0,0,IF(CT229="无数据/数据缺失",0%,IF(CT229&gt;'基本数据输入&amp;测算结果'!$C$20,100%,CT229/'基本数据输入&amp;测算结果'!$C$20)))</f>
        <v>0</v>
      </c>
      <c r="CV229" s="42" t="str">
        <f>IFERROR((AVERAGE(AL229:AS229)*2-'基本数据输入&amp;测算结果'!$C$24*2)/'基本数据输入&amp;测算结果'!$C$21/'基本数据输入&amp;测算结果'!$C$22,"无数据/数据缺失")</f>
        <v>无数据/数据缺失</v>
      </c>
      <c r="CW229" s="42">
        <f>IF(CV229&lt;0,0,IF(CV229="无数据/数据缺失",0%,IF(CV229&gt;'基本数据输入&amp;测算结果'!$C$20*CU229,CU229,CV229/'基本数据输入&amp;测算结果'!$C$20*CU229)))</f>
        <v>0</v>
      </c>
      <c r="CX229" s="42" t="str">
        <f>IFERROR(('基本数据输入&amp;测算结果'!$C$19*2-AVERAGE(AT229:BA229)*2-'基本数据输入&amp;测算结果'!$C$23*2)/'基本数据输入&amp;测算结果'!$C$21*'基本数据输入&amp;测算结果'!$C$22,"无数据/数据缺失")</f>
        <v>无数据/数据缺失</v>
      </c>
      <c r="CY229" s="42">
        <f>IF(CX229&lt;0,0,IF(CX229="无数据/数据缺失",0%,IF(CX229&gt;'基本数据输入&amp;测算结果'!$C$20,100%,CX229/'基本数据输入&amp;测算结果'!$C$20)))</f>
        <v>0</v>
      </c>
      <c r="CZ229" s="42" t="str">
        <f>IFERROR((AVERAGE(BN229:CS229)*8-'基本数据输入&amp;测算结果'!$C$24*8)/'基本数据输入&amp;测算结果'!$C$21/'基本数据输入&amp;测算结果'!$C$22,"无数据/数据缺失")</f>
        <v>无数据/数据缺失</v>
      </c>
      <c r="DA229" s="42">
        <f>IF(CZ229&lt;0,0,IF(CZ229="无数据/数据缺失",0,IF('基本数据输入&amp;测算结果'!$C$20*CY229&gt;CZ229,CZ229/'基本数据输入&amp;测算结果'!$C$20*CY229,CY229)))</f>
        <v>0</v>
      </c>
      <c r="DB229" s="49">
        <f t="shared" si="11"/>
        <v>0</v>
      </c>
      <c r="DC229" s="50">
        <f>IF(DA229=0,0,IF(AVERAGE(CD229:CK229)*2&gt;'基本数据输入&amp;测算结果'!$C$20*DA229,100%,AVERAGE(CD229:CK229)*2/('基本数据输入&amp;测算结果'!$C$20*DA229)))</f>
        <v>0</v>
      </c>
      <c r="DD229" s="50"/>
      <c r="DE229"/>
      <c r="DF229"/>
      <c r="DG229"/>
      <c r="DH229"/>
      <c r="DI229"/>
    </row>
    <row r="230" customHeight="1" spans="1:113">
      <c r="A230" s="48" t="s">
        <v>284</v>
      </c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51"/>
      <c r="AI230" s="51"/>
      <c r="AJ230" s="51"/>
      <c r="AK230" s="51"/>
      <c r="AL230" s="51"/>
      <c r="AM230" s="51"/>
      <c r="AN230" s="51"/>
      <c r="AO230" s="51"/>
      <c r="AP230" s="51"/>
      <c r="AQ230" s="51"/>
      <c r="AR230" s="51"/>
      <c r="AS230" s="51"/>
      <c r="AT230" s="51"/>
      <c r="AU230" s="51"/>
      <c r="AV230" s="51"/>
      <c r="AW230" s="51"/>
      <c r="AX230" s="51"/>
      <c r="AY230" s="51"/>
      <c r="AZ230" s="51"/>
      <c r="BA230" s="51"/>
      <c r="BB230" s="51"/>
      <c r="BC230" s="51"/>
      <c r="BD230" s="51"/>
      <c r="BE230" s="51"/>
      <c r="BF230" s="51"/>
      <c r="BG230" s="51"/>
      <c r="BH230" s="51"/>
      <c r="BI230" s="51"/>
      <c r="BJ230" s="51"/>
      <c r="BK230" s="51"/>
      <c r="BL230" s="51"/>
      <c r="BM230" s="51"/>
      <c r="BN230" s="51"/>
      <c r="BO230" s="51"/>
      <c r="BP230" s="51"/>
      <c r="BQ230" s="51"/>
      <c r="BR230" s="51"/>
      <c r="BS230" s="51"/>
      <c r="BT230" s="51"/>
      <c r="BU230" s="51"/>
      <c r="BV230" s="51"/>
      <c r="BW230" s="51"/>
      <c r="BX230" s="51"/>
      <c r="BY230" s="51"/>
      <c r="BZ230" s="51"/>
      <c r="CA230" s="51"/>
      <c r="CB230" s="51"/>
      <c r="CC230" s="51"/>
      <c r="CD230" s="51"/>
      <c r="CE230" s="51"/>
      <c r="CF230" s="51"/>
      <c r="CG230" s="51"/>
      <c r="CH230" s="51"/>
      <c r="CI230" s="51"/>
      <c r="CJ230" s="51"/>
      <c r="CK230" s="51"/>
      <c r="CL230" s="51"/>
      <c r="CM230" s="51"/>
      <c r="CN230" s="51"/>
      <c r="CO230" s="51"/>
      <c r="CP230" s="51"/>
      <c r="CQ230" s="51"/>
      <c r="CR230" s="51"/>
      <c r="CS230" s="51"/>
      <c r="CT230" s="42" t="str">
        <f>IFERROR(('基本数据输入&amp;测算结果'!$C$19*7-AVERAGE(J230:AK230)*7-'基本数据输入&amp;测算结果'!$C$23*7)/'基本数据输入&amp;测算结果'!$C$21*'基本数据输入&amp;测算结果'!$C$22,"无数据/数据缺失")</f>
        <v>无数据/数据缺失</v>
      </c>
      <c r="CU230" s="42">
        <f>IF(CT230&lt;0,0,IF(CT230="无数据/数据缺失",0%,IF(CT230&gt;'基本数据输入&amp;测算结果'!$C$20,100%,CT230/'基本数据输入&amp;测算结果'!$C$20)))</f>
        <v>0</v>
      </c>
      <c r="CV230" s="42" t="str">
        <f>IFERROR((AVERAGE(AL230:AS230)*2-'基本数据输入&amp;测算结果'!$C$24*2)/'基本数据输入&amp;测算结果'!$C$21/'基本数据输入&amp;测算结果'!$C$22,"无数据/数据缺失")</f>
        <v>无数据/数据缺失</v>
      </c>
      <c r="CW230" s="42">
        <f>IF(CV230&lt;0,0,IF(CV230="无数据/数据缺失",0%,IF(CV230&gt;'基本数据输入&amp;测算结果'!$C$20*CU230,CU230,CV230/'基本数据输入&amp;测算结果'!$C$20*CU230)))</f>
        <v>0</v>
      </c>
      <c r="CX230" s="42" t="str">
        <f>IFERROR(('基本数据输入&amp;测算结果'!$C$19*2-AVERAGE(AT230:BA230)*2-'基本数据输入&amp;测算结果'!$C$23*2)/'基本数据输入&amp;测算结果'!$C$21*'基本数据输入&amp;测算结果'!$C$22,"无数据/数据缺失")</f>
        <v>无数据/数据缺失</v>
      </c>
      <c r="CY230" s="42">
        <f>IF(CX230&lt;0,0,IF(CX230="无数据/数据缺失",0%,IF(CX230&gt;'基本数据输入&amp;测算结果'!$C$20,100%,CX230/'基本数据输入&amp;测算结果'!$C$20)))</f>
        <v>0</v>
      </c>
      <c r="CZ230" s="42" t="str">
        <f>IFERROR((AVERAGE(BN230:CS230)*8-'基本数据输入&amp;测算结果'!$C$24*8)/'基本数据输入&amp;测算结果'!$C$21/'基本数据输入&amp;测算结果'!$C$22,"无数据/数据缺失")</f>
        <v>无数据/数据缺失</v>
      </c>
      <c r="DA230" s="42">
        <f>IF(CZ230&lt;0,0,IF(CZ230="无数据/数据缺失",0,IF('基本数据输入&amp;测算结果'!$C$20*CY230&gt;CZ230,CZ230/'基本数据输入&amp;测算结果'!$C$20*CY230,CY230)))</f>
        <v>0</v>
      </c>
      <c r="DB230" s="49">
        <f t="shared" si="11"/>
        <v>0</v>
      </c>
      <c r="DC230" s="50">
        <f>IF(DA230=0,0,IF(AVERAGE(CD230:CK230)*2&gt;'基本数据输入&amp;测算结果'!$C$20*DA230,100%,AVERAGE(CD230:CK230)*2/('基本数据输入&amp;测算结果'!$C$20*DA230)))</f>
        <v>0</v>
      </c>
      <c r="DD230" s="50"/>
      <c r="DE230"/>
      <c r="DF230"/>
      <c r="DG230"/>
      <c r="DH230"/>
      <c r="DI230"/>
    </row>
    <row r="231" customHeight="1" spans="1:113">
      <c r="A231" s="48" t="s">
        <v>285</v>
      </c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51"/>
      <c r="AI231" s="51"/>
      <c r="AJ231" s="51"/>
      <c r="AK231" s="51"/>
      <c r="AL231" s="51"/>
      <c r="AM231" s="51"/>
      <c r="AN231" s="51"/>
      <c r="AO231" s="51"/>
      <c r="AP231" s="51"/>
      <c r="AQ231" s="51"/>
      <c r="AR231" s="51"/>
      <c r="AS231" s="51"/>
      <c r="AT231" s="51"/>
      <c r="AU231" s="51"/>
      <c r="AV231" s="51"/>
      <c r="AW231" s="51"/>
      <c r="AX231" s="51"/>
      <c r="AY231" s="51"/>
      <c r="AZ231" s="51"/>
      <c r="BA231" s="51"/>
      <c r="BB231" s="51"/>
      <c r="BC231" s="51"/>
      <c r="BD231" s="51"/>
      <c r="BE231" s="51"/>
      <c r="BF231" s="51"/>
      <c r="BG231" s="51"/>
      <c r="BH231" s="51"/>
      <c r="BI231" s="51"/>
      <c r="BJ231" s="51"/>
      <c r="BK231" s="51"/>
      <c r="BL231" s="51"/>
      <c r="BM231" s="51"/>
      <c r="BN231" s="51"/>
      <c r="BO231" s="51"/>
      <c r="BP231" s="51"/>
      <c r="BQ231" s="51"/>
      <c r="BR231" s="51"/>
      <c r="BS231" s="51"/>
      <c r="BT231" s="51"/>
      <c r="BU231" s="51"/>
      <c r="BV231" s="51"/>
      <c r="BW231" s="51"/>
      <c r="BX231" s="51"/>
      <c r="BY231" s="51"/>
      <c r="BZ231" s="51"/>
      <c r="CA231" s="51"/>
      <c r="CB231" s="51"/>
      <c r="CC231" s="51"/>
      <c r="CD231" s="51"/>
      <c r="CE231" s="51"/>
      <c r="CF231" s="51"/>
      <c r="CG231" s="51"/>
      <c r="CH231" s="51"/>
      <c r="CI231" s="51"/>
      <c r="CJ231" s="51"/>
      <c r="CK231" s="51"/>
      <c r="CL231" s="51"/>
      <c r="CM231" s="51"/>
      <c r="CN231" s="51"/>
      <c r="CO231" s="51"/>
      <c r="CP231" s="51"/>
      <c r="CQ231" s="51"/>
      <c r="CR231" s="51"/>
      <c r="CS231" s="51"/>
      <c r="CT231" s="42" t="str">
        <f>IFERROR(('基本数据输入&amp;测算结果'!$C$19*7-AVERAGE(J231:AK231)*7-'基本数据输入&amp;测算结果'!$C$23*7)/'基本数据输入&amp;测算结果'!$C$21*'基本数据输入&amp;测算结果'!$C$22,"无数据/数据缺失")</f>
        <v>无数据/数据缺失</v>
      </c>
      <c r="CU231" s="42">
        <f>IF(CT231&lt;0,0,IF(CT231="无数据/数据缺失",0%,IF(CT231&gt;'基本数据输入&amp;测算结果'!$C$20,100%,CT231/'基本数据输入&amp;测算结果'!$C$20)))</f>
        <v>0</v>
      </c>
      <c r="CV231" s="42" t="str">
        <f>IFERROR((AVERAGE(AL231:AS231)*2-'基本数据输入&amp;测算结果'!$C$24*2)/'基本数据输入&amp;测算结果'!$C$21/'基本数据输入&amp;测算结果'!$C$22,"无数据/数据缺失")</f>
        <v>无数据/数据缺失</v>
      </c>
      <c r="CW231" s="42">
        <f>IF(CV231&lt;0,0,IF(CV231="无数据/数据缺失",0%,IF(CV231&gt;'基本数据输入&amp;测算结果'!$C$20*CU231,CU231,CV231/'基本数据输入&amp;测算结果'!$C$20*CU231)))</f>
        <v>0</v>
      </c>
      <c r="CX231" s="42" t="str">
        <f>IFERROR(('基本数据输入&amp;测算结果'!$C$19*2-AVERAGE(AT231:BA231)*2-'基本数据输入&amp;测算结果'!$C$23*2)/'基本数据输入&amp;测算结果'!$C$21*'基本数据输入&amp;测算结果'!$C$22,"无数据/数据缺失")</f>
        <v>无数据/数据缺失</v>
      </c>
      <c r="CY231" s="42">
        <f>IF(CX231&lt;0,0,IF(CX231="无数据/数据缺失",0%,IF(CX231&gt;'基本数据输入&amp;测算结果'!$C$20,100%,CX231/'基本数据输入&amp;测算结果'!$C$20)))</f>
        <v>0</v>
      </c>
      <c r="CZ231" s="42" t="str">
        <f>IFERROR((AVERAGE(BN231:CS231)*8-'基本数据输入&amp;测算结果'!$C$24*8)/'基本数据输入&amp;测算结果'!$C$21/'基本数据输入&amp;测算结果'!$C$22,"无数据/数据缺失")</f>
        <v>无数据/数据缺失</v>
      </c>
      <c r="DA231" s="42">
        <f>IF(CZ231&lt;0,0,IF(CZ231="无数据/数据缺失",0,IF('基本数据输入&amp;测算结果'!$C$20*CY231&gt;CZ231,CZ231/'基本数据输入&amp;测算结果'!$C$20*CY231,CY231)))</f>
        <v>0</v>
      </c>
      <c r="DB231" s="49">
        <f t="shared" si="11"/>
        <v>0</v>
      </c>
      <c r="DC231" s="50">
        <f>IF(DA231=0,0,IF(AVERAGE(CD231:CK231)*2&gt;'基本数据输入&amp;测算结果'!$C$20*DA231,100%,AVERAGE(CD231:CK231)*2/('基本数据输入&amp;测算结果'!$C$20*DA231)))</f>
        <v>0</v>
      </c>
      <c r="DD231" s="50"/>
      <c r="DE231"/>
      <c r="DF231"/>
      <c r="DG231"/>
      <c r="DH231"/>
      <c r="DI231"/>
    </row>
    <row r="232" customHeight="1" spans="1:113">
      <c r="A232" s="48" t="s">
        <v>286</v>
      </c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  <c r="AK232" s="51"/>
      <c r="AL232" s="51"/>
      <c r="AM232" s="51"/>
      <c r="AN232" s="51"/>
      <c r="AO232" s="51"/>
      <c r="AP232" s="51"/>
      <c r="AQ232" s="51"/>
      <c r="AR232" s="51"/>
      <c r="AS232" s="51"/>
      <c r="AT232" s="51"/>
      <c r="AU232" s="51"/>
      <c r="AV232" s="51"/>
      <c r="AW232" s="51"/>
      <c r="AX232" s="51"/>
      <c r="AY232" s="51"/>
      <c r="AZ232" s="51"/>
      <c r="BA232" s="51"/>
      <c r="BB232" s="51"/>
      <c r="BC232" s="51"/>
      <c r="BD232" s="51"/>
      <c r="BE232" s="51"/>
      <c r="BF232" s="51"/>
      <c r="BG232" s="51"/>
      <c r="BH232" s="51"/>
      <c r="BI232" s="51"/>
      <c r="BJ232" s="51"/>
      <c r="BK232" s="51"/>
      <c r="BL232" s="51"/>
      <c r="BM232" s="51"/>
      <c r="BN232" s="51"/>
      <c r="BO232" s="51"/>
      <c r="BP232" s="51"/>
      <c r="BQ232" s="51"/>
      <c r="BR232" s="51"/>
      <c r="BS232" s="51"/>
      <c r="BT232" s="51"/>
      <c r="BU232" s="51"/>
      <c r="BV232" s="51"/>
      <c r="BW232" s="51"/>
      <c r="BX232" s="51"/>
      <c r="BY232" s="51"/>
      <c r="BZ232" s="51"/>
      <c r="CA232" s="51"/>
      <c r="CB232" s="51"/>
      <c r="CC232" s="51"/>
      <c r="CD232" s="51"/>
      <c r="CE232" s="51"/>
      <c r="CF232" s="51"/>
      <c r="CG232" s="51"/>
      <c r="CH232" s="51"/>
      <c r="CI232" s="51"/>
      <c r="CJ232" s="51"/>
      <c r="CK232" s="51"/>
      <c r="CL232" s="51"/>
      <c r="CM232" s="51"/>
      <c r="CN232" s="51"/>
      <c r="CO232" s="51"/>
      <c r="CP232" s="51"/>
      <c r="CQ232" s="51"/>
      <c r="CR232" s="51"/>
      <c r="CS232" s="51"/>
      <c r="CT232" s="42" t="str">
        <f>IFERROR(('基本数据输入&amp;测算结果'!$C$19*7-AVERAGE(J232:AK232)*7-'基本数据输入&amp;测算结果'!$C$23*7)/'基本数据输入&amp;测算结果'!$C$21*'基本数据输入&amp;测算结果'!$C$22,"无数据/数据缺失")</f>
        <v>无数据/数据缺失</v>
      </c>
      <c r="CU232" s="42">
        <f>IF(CT232&lt;0,0,IF(CT232="无数据/数据缺失",0%,IF(CT232&gt;'基本数据输入&amp;测算结果'!$C$20,100%,CT232/'基本数据输入&amp;测算结果'!$C$20)))</f>
        <v>0</v>
      </c>
      <c r="CV232" s="42" t="str">
        <f>IFERROR((AVERAGE(AL232:AS232)*2-'基本数据输入&amp;测算结果'!$C$24*2)/'基本数据输入&amp;测算结果'!$C$21/'基本数据输入&amp;测算结果'!$C$22,"无数据/数据缺失")</f>
        <v>无数据/数据缺失</v>
      </c>
      <c r="CW232" s="42">
        <f>IF(CV232&lt;0,0,IF(CV232="无数据/数据缺失",0%,IF(CV232&gt;'基本数据输入&amp;测算结果'!$C$20*CU232,CU232,CV232/'基本数据输入&amp;测算结果'!$C$20*CU232)))</f>
        <v>0</v>
      </c>
      <c r="CX232" s="42" t="str">
        <f>IFERROR(('基本数据输入&amp;测算结果'!$C$19*2-AVERAGE(AT232:BA232)*2-'基本数据输入&amp;测算结果'!$C$23*2)/'基本数据输入&amp;测算结果'!$C$21*'基本数据输入&amp;测算结果'!$C$22,"无数据/数据缺失")</f>
        <v>无数据/数据缺失</v>
      </c>
      <c r="CY232" s="42">
        <f>IF(CX232&lt;0,0,IF(CX232="无数据/数据缺失",0%,IF(CX232&gt;'基本数据输入&amp;测算结果'!$C$20,100%,CX232/'基本数据输入&amp;测算结果'!$C$20)))</f>
        <v>0</v>
      </c>
      <c r="CZ232" s="42" t="str">
        <f>IFERROR((AVERAGE(BN232:CS232)*8-'基本数据输入&amp;测算结果'!$C$24*8)/'基本数据输入&amp;测算结果'!$C$21/'基本数据输入&amp;测算结果'!$C$22,"无数据/数据缺失")</f>
        <v>无数据/数据缺失</v>
      </c>
      <c r="DA232" s="42">
        <f>IF(CZ232&lt;0,0,IF(CZ232="无数据/数据缺失",0,IF('基本数据输入&amp;测算结果'!$C$20*CY232&gt;CZ232,CZ232/'基本数据输入&amp;测算结果'!$C$20*CY232,CY232)))</f>
        <v>0</v>
      </c>
      <c r="DB232" s="49">
        <f t="shared" si="11"/>
        <v>0</v>
      </c>
      <c r="DC232" s="50">
        <f>IF(DA232=0,0,IF(AVERAGE(CD232:CK232)*2&gt;'基本数据输入&amp;测算结果'!$C$20*DA232,100%,AVERAGE(CD232:CK232)*2/('基本数据输入&amp;测算结果'!$C$20*DA232)))</f>
        <v>0</v>
      </c>
      <c r="DD232" s="50"/>
      <c r="DE232"/>
      <c r="DF232"/>
      <c r="DG232"/>
      <c r="DH232"/>
      <c r="DI232"/>
    </row>
    <row r="233" customHeight="1" spans="1:113">
      <c r="A233" s="48" t="s">
        <v>287</v>
      </c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  <c r="AI233" s="51"/>
      <c r="AJ233" s="51"/>
      <c r="AK233" s="51"/>
      <c r="AL233" s="51"/>
      <c r="AM233" s="51"/>
      <c r="AN233" s="51"/>
      <c r="AO233" s="51"/>
      <c r="AP233" s="51"/>
      <c r="AQ233" s="51"/>
      <c r="AR233" s="51"/>
      <c r="AS233" s="51"/>
      <c r="AT233" s="51"/>
      <c r="AU233" s="51"/>
      <c r="AV233" s="51"/>
      <c r="AW233" s="51"/>
      <c r="AX233" s="51"/>
      <c r="AY233" s="51"/>
      <c r="AZ233" s="51"/>
      <c r="BA233" s="51"/>
      <c r="BB233" s="51"/>
      <c r="BC233" s="51"/>
      <c r="BD233" s="51"/>
      <c r="BE233" s="51"/>
      <c r="BF233" s="51"/>
      <c r="BG233" s="51"/>
      <c r="BH233" s="51"/>
      <c r="BI233" s="51"/>
      <c r="BJ233" s="51"/>
      <c r="BK233" s="51"/>
      <c r="BL233" s="51"/>
      <c r="BM233" s="51"/>
      <c r="BN233" s="51"/>
      <c r="BO233" s="51"/>
      <c r="BP233" s="51"/>
      <c r="BQ233" s="51"/>
      <c r="BR233" s="51"/>
      <c r="BS233" s="51"/>
      <c r="BT233" s="51"/>
      <c r="BU233" s="51"/>
      <c r="BV233" s="51"/>
      <c r="BW233" s="51"/>
      <c r="BX233" s="51"/>
      <c r="BY233" s="51"/>
      <c r="BZ233" s="51"/>
      <c r="CA233" s="51"/>
      <c r="CB233" s="51"/>
      <c r="CC233" s="51"/>
      <c r="CD233" s="51"/>
      <c r="CE233" s="51"/>
      <c r="CF233" s="51"/>
      <c r="CG233" s="51"/>
      <c r="CH233" s="51"/>
      <c r="CI233" s="51"/>
      <c r="CJ233" s="51"/>
      <c r="CK233" s="51"/>
      <c r="CL233" s="51"/>
      <c r="CM233" s="51"/>
      <c r="CN233" s="51"/>
      <c r="CO233" s="51"/>
      <c r="CP233" s="51"/>
      <c r="CQ233" s="51"/>
      <c r="CR233" s="51"/>
      <c r="CS233" s="51"/>
      <c r="CT233" s="42" t="str">
        <f>IFERROR(('基本数据输入&amp;测算结果'!$C$19*7-AVERAGE(J233:AK233)*7-'基本数据输入&amp;测算结果'!$C$23*7)/'基本数据输入&amp;测算结果'!$C$21*'基本数据输入&amp;测算结果'!$C$22,"无数据/数据缺失")</f>
        <v>无数据/数据缺失</v>
      </c>
      <c r="CU233" s="42">
        <f>IF(CT233&lt;0,0,IF(CT233="无数据/数据缺失",0%,IF(CT233&gt;'基本数据输入&amp;测算结果'!$C$20,100%,CT233/'基本数据输入&amp;测算结果'!$C$20)))</f>
        <v>0</v>
      </c>
      <c r="CV233" s="42" t="str">
        <f>IFERROR((AVERAGE(AL233:AS233)*2-'基本数据输入&amp;测算结果'!$C$24*2)/'基本数据输入&amp;测算结果'!$C$21/'基本数据输入&amp;测算结果'!$C$22,"无数据/数据缺失")</f>
        <v>无数据/数据缺失</v>
      </c>
      <c r="CW233" s="42">
        <f>IF(CV233&lt;0,0,IF(CV233="无数据/数据缺失",0%,IF(CV233&gt;'基本数据输入&amp;测算结果'!$C$20*CU233,CU233,CV233/'基本数据输入&amp;测算结果'!$C$20*CU233)))</f>
        <v>0</v>
      </c>
      <c r="CX233" s="42" t="str">
        <f>IFERROR(('基本数据输入&amp;测算结果'!$C$19*2-AVERAGE(AT233:BA233)*2-'基本数据输入&amp;测算结果'!$C$23*2)/'基本数据输入&amp;测算结果'!$C$21*'基本数据输入&amp;测算结果'!$C$22,"无数据/数据缺失")</f>
        <v>无数据/数据缺失</v>
      </c>
      <c r="CY233" s="42">
        <f>IF(CX233&lt;0,0,IF(CX233="无数据/数据缺失",0%,IF(CX233&gt;'基本数据输入&amp;测算结果'!$C$20,100%,CX233/'基本数据输入&amp;测算结果'!$C$20)))</f>
        <v>0</v>
      </c>
      <c r="CZ233" s="42" t="str">
        <f>IFERROR((AVERAGE(BN233:CS233)*8-'基本数据输入&amp;测算结果'!$C$24*8)/'基本数据输入&amp;测算结果'!$C$21/'基本数据输入&amp;测算结果'!$C$22,"无数据/数据缺失")</f>
        <v>无数据/数据缺失</v>
      </c>
      <c r="DA233" s="42">
        <f>IF(CZ233&lt;0,0,IF(CZ233="无数据/数据缺失",0,IF('基本数据输入&amp;测算结果'!$C$20*CY233&gt;CZ233,CZ233/'基本数据输入&amp;测算结果'!$C$20*CY233,CY233)))</f>
        <v>0</v>
      </c>
      <c r="DB233" s="49">
        <f t="shared" si="11"/>
        <v>0</v>
      </c>
      <c r="DC233" s="50">
        <f>IF(DA233=0,0,IF(AVERAGE(CD233:CK233)*2&gt;'基本数据输入&amp;测算结果'!$C$20*DA233,100%,AVERAGE(CD233:CK233)*2/('基本数据输入&amp;测算结果'!$C$20*DA233)))</f>
        <v>0</v>
      </c>
      <c r="DD233" s="50"/>
      <c r="DE233"/>
      <c r="DF233"/>
      <c r="DG233"/>
      <c r="DH233"/>
      <c r="DI233"/>
    </row>
    <row r="234" customHeight="1" spans="1:113">
      <c r="A234" s="48" t="s">
        <v>288</v>
      </c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51"/>
      <c r="AJ234" s="51"/>
      <c r="AK234" s="51"/>
      <c r="AL234" s="51"/>
      <c r="AM234" s="51"/>
      <c r="AN234" s="51"/>
      <c r="AO234" s="51"/>
      <c r="AP234" s="51"/>
      <c r="AQ234" s="51"/>
      <c r="AR234" s="51"/>
      <c r="AS234" s="51"/>
      <c r="AT234" s="51"/>
      <c r="AU234" s="51"/>
      <c r="AV234" s="51"/>
      <c r="AW234" s="51"/>
      <c r="AX234" s="51"/>
      <c r="AY234" s="51"/>
      <c r="AZ234" s="51"/>
      <c r="BA234" s="51"/>
      <c r="BB234" s="51"/>
      <c r="BC234" s="51"/>
      <c r="BD234" s="51"/>
      <c r="BE234" s="51"/>
      <c r="BF234" s="51"/>
      <c r="BG234" s="51"/>
      <c r="BH234" s="51"/>
      <c r="BI234" s="51"/>
      <c r="BJ234" s="51"/>
      <c r="BK234" s="51"/>
      <c r="BL234" s="51"/>
      <c r="BM234" s="51"/>
      <c r="BN234" s="51"/>
      <c r="BO234" s="51"/>
      <c r="BP234" s="51"/>
      <c r="BQ234" s="51"/>
      <c r="BR234" s="51"/>
      <c r="BS234" s="51"/>
      <c r="BT234" s="51"/>
      <c r="BU234" s="51"/>
      <c r="BV234" s="51"/>
      <c r="BW234" s="51"/>
      <c r="BX234" s="51"/>
      <c r="BY234" s="51"/>
      <c r="BZ234" s="51"/>
      <c r="CA234" s="51"/>
      <c r="CB234" s="51"/>
      <c r="CC234" s="51"/>
      <c r="CD234" s="51"/>
      <c r="CE234" s="51"/>
      <c r="CF234" s="51"/>
      <c r="CG234" s="51"/>
      <c r="CH234" s="51"/>
      <c r="CI234" s="51"/>
      <c r="CJ234" s="51"/>
      <c r="CK234" s="51"/>
      <c r="CL234" s="51"/>
      <c r="CM234" s="51"/>
      <c r="CN234" s="51"/>
      <c r="CO234" s="51"/>
      <c r="CP234" s="51"/>
      <c r="CQ234" s="51"/>
      <c r="CR234" s="51"/>
      <c r="CS234" s="51"/>
      <c r="CT234" s="42" t="str">
        <f>IFERROR(('基本数据输入&amp;测算结果'!$C$19*7-AVERAGE(J234:AK234)*7-'基本数据输入&amp;测算结果'!$C$23*7)/'基本数据输入&amp;测算结果'!$C$21*'基本数据输入&amp;测算结果'!$C$22,"无数据/数据缺失")</f>
        <v>无数据/数据缺失</v>
      </c>
      <c r="CU234" s="42">
        <f>IF(CT234&lt;0,0,IF(CT234="无数据/数据缺失",0%,IF(CT234&gt;'基本数据输入&amp;测算结果'!$C$20,100%,CT234/'基本数据输入&amp;测算结果'!$C$20)))</f>
        <v>0</v>
      </c>
      <c r="CV234" s="42" t="str">
        <f>IFERROR((AVERAGE(AL234:AS234)*2-'基本数据输入&amp;测算结果'!$C$24*2)/'基本数据输入&amp;测算结果'!$C$21/'基本数据输入&amp;测算结果'!$C$22,"无数据/数据缺失")</f>
        <v>无数据/数据缺失</v>
      </c>
      <c r="CW234" s="42">
        <f>IF(CV234&lt;0,0,IF(CV234="无数据/数据缺失",0%,IF(CV234&gt;'基本数据输入&amp;测算结果'!$C$20*CU234,CU234,CV234/'基本数据输入&amp;测算结果'!$C$20*CU234)))</f>
        <v>0</v>
      </c>
      <c r="CX234" s="42" t="str">
        <f>IFERROR(('基本数据输入&amp;测算结果'!$C$19*2-AVERAGE(AT234:BA234)*2-'基本数据输入&amp;测算结果'!$C$23*2)/'基本数据输入&amp;测算结果'!$C$21*'基本数据输入&amp;测算结果'!$C$22,"无数据/数据缺失")</f>
        <v>无数据/数据缺失</v>
      </c>
      <c r="CY234" s="42">
        <f>IF(CX234&lt;0,0,IF(CX234="无数据/数据缺失",0%,IF(CX234&gt;'基本数据输入&amp;测算结果'!$C$20,100%,CX234/'基本数据输入&amp;测算结果'!$C$20)))</f>
        <v>0</v>
      </c>
      <c r="CZ234" s="42" t="str">
        <f>IFERROR((AVERAGE(BN234:CS234)*8-'基本数据输入&amp;测算结果'!$C$24*8)/'基本数据输入&amp;测算结果'!$C$21/'基本数据输入&amp;测算结果'!$C$22,"无数据/数据缺失")</f>
        <v>无数据/数据缺失</v>
      </c>
      <c r="DA234" s="42">
        <f>IF(CZ234&lt;0,0,IF(CZ234="无数据/数据缺失",0,IF('基本数据输入&amp;测算结果'!$C$20*CY234&gt;CZ234,CZ234/'基本数据输入&amp;测算结果'!$C$20*CY234,CY234)))</f>
        <v>0</v>
      </c>
      <c r="DB234" s="49">
        <f t="shared" si="11"/>
        <v>0</v>
      </c>
      <c r="DC234" s="50">
        <f>IF(DA234=0,0,IF(AVERAGE(CD234:CK234)*2&gt;'基本数据输入&amp;测算结果'!$C$20*DA234,100%,AVERAGE(CD234:CK234)*2/('基本数据输入&amp;测算结果'!$C$20*DA234)))</f>
        <v>0</v>
      </c>
      <c r="DD234" s="50"/>
      <c r="DE234"/>
      <c r="DF234"/>
      <c r="DG234"/>
      <c r="DH234"/>
      <c r="DI234"/>
    </row>
    <row r="235" customHeight="1" spans="1:113">
      <c r="A235" s="48" t="s">
        <v>289</v>
      </c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51"/>
      <c r="AJ235" s="51"/>
      <c r="AK235" s="51"/>
      <c r="AL235" s="51"/>
      <c r="AM235" s="51"/>
      <c r="AN235" s="51"/>
      <c r="AO235" s="51"/>
      <c r="AP235" s="51"/>
      <c r="AQ235" s="51"/>
      <c r="AR235" s="51"/>
      <c r="AS235" s="51"/>
      <c r="AT235" s="51"/>
      <c r="AU235" s="51"/>
      <c r="AV235" s="51"/>
      <c r="AW235" s="51"/>
      <c r="AX235" s="51"/>
      <c r="AY235" s="51"/>
      <c r="AZ235" s="51"/>
      <c r="BA235" s="51"/>
      <c r="BB235" s="51"/>
      <c r="BC235" s="51"/>
      <c r="BD235" s="51"/>
      <c r="BE235" s="51"/>
      <c r="BF235" s="51"/>
      <c r="BG235" s="51"/>
      <c r="BH235" s="51"/>
      <c r="BI235" s="51"/>
      <c r="BJ235" s="51"/>
      <c r="BK235" s="51"/>
      <c r="BL235" s="51"/>
      <c r="BM235" s="51"/>
      <c r="BN235" s="51"/>
      <c r="BO235" s="51"/>
      <c r="BP235" s="51"/>
      <c r="BQ235" s="51"/>
      <c r="BR235" s="51"/>
      <c r="BS235" s="51"/>
      <c r="BT235" s="51"/>
      <c r="BU235" s="51"/>
      <c r="BV235" s="51"/>
      <c r="BW235" s="51"/>
      <c r="BX235" s="51"/>
      <c r="BY235" s="51"/>
      <c r="BZ235" s="51"/>
      <c r="CA235" s="51"/>
      <c r="CB235" s="51"/>
      <c r="CC235" s="51"/>
      <c r="CD235" s="51"/>
      <c r="CE235" s="51"/>
      <c r="CF235" s="51"/>
      <c r="CG235" s="51"/>
      <c r="CH235" s="51"/>
      <c r="CI235" s="51"/>
      <c r="CJ235" s="51"/>
      <c r="CK235" s="51"/>
      <c r="CL235" s="51"/>
      <c r="CM235" s="51"/>
      <c r="CN235" s="51"/>
      <c r="CO235" s="51"/>
      <c r="CP235" s="51"/>
      <c r="CQ235" s="51"/>
      <c r="CR235" s="51"/>
      <c r="CS235" s="51"/>
      <c r="CT235" s="42" t="str">
        <f>IFERROR(('基本数据输入&amp;测算结果'!$C$19*7-AVERAGE(J235:AK235)*7-'基本数据输入&amp;测算结果'!$C$23*7)/'基本数据输入&amp;测算结果'!$C$21*'基本数据输入&amp;测算结果'!$C$22,"无数据/数据缺失")</f>
        <v>无数据/数据缺失</v>
      </c>
      <c r="CU235" s="42">
        <f>IF(CT235&lt;0,0,IF(CT235="无数据/数据缺失",0%,IF(CT235&gt;'基本数据输入&amp;测算结果'!$C$20,100%,CT235/'基本数据输入&amp;测算结果'!$C$20)))</f>
        <v>0</v>
      </c>
      <c r="CV235" s="42" t="str">
        <f>IFERROR((AVERAGE(AL235:AS235)*2-'基本数据输入&amp;测算结果'!$C$24*2)/'基本数据输入&amp;测算结果'!$C$21/'基本数据输入&amp;测算结果'!$C$22,"无数据/数据缺失")</f>
        <v>无数据/数据缺失</v>
      </c>
      <c r="CW235" s="42">
        <f>IF(CV235&lt;0,0,IF(CV235="无数据/数据缺失",0%,IF(CV235&gt;'基本数据输入&amp;测算结果'!$C$20*CU235,CU235,CV235/'基本数据输入&amp;测算结果'!$C$20*CU235)))</f>
        <v>0</v>
      </c>
      <c r="CX235" s="42" t="str">
        <f>IFERROR(('基本数据输入&amp;测算结果'!$C$19*2-AVERAGE(AT235:BA235)*2-'基本数据输入&amp;测算结果'!$C$23*2)/'基本数据输入&amp;测算结果'!$C$21*'基本数据输入&amp;测算结果'!$C$22,"无数据/数据缺失")</f>
        <v>无数据/数据缺失</v>
      </c>
      <c r="CY235" s="42">
        <f>IF(CX235&lt;0,0,IF(CX235="无数据/数据缺失",0%,IF(CX235&gt;'基本数据输入&amp;测算结果'!$C$20,100%,CX235/'基本数据输入&amp;测算结果'!$C$20)))</f>
        <v>0</v>
      </c>
      <c r="CZ235" s="42" t="str">
        <f>IFERROR((AVERAGE(BN235:CS235)*8-'基本数据输入&amp;测算结果'!$C$24*8)/'基本数据输入&amp;测算结果'!$C$21/'基本数据输入&amp;测算结果'!$C$22,"无数据/数据缺失")</f>
        <v>无数据/数据缺失</v>
      </c>
      <c r="DA235" s="42">
        <f>IF(CZ235&lt;0,0,IF(CZ235="无数据/数据缺失",0,IF('基本数据输入&amp;测算结果'!$C$20*CY235&gt;CZ235,CZ235/'基本数据输入&amp;测算结果'!$C$20*CY235,CY235)))</f>
        <v>0</v>
      </c>
      <c r="DB235" s="49">
        <f t="shared" si="11"/>
        <v>0</v>
      </c>
      <c r="DC235" s="50">
        <f>IF(DA235=0,0,IF(AVERAGE(CD235:CK235)*2&gt;'基本数据输入&amp;测算结果'!$C$20*DA235,100%,AVERAGE(CD235:CK235)*2/('基本数据输入&amp;测算结果'!$C$20*DA235)))</f>
        <v>0</v>
      </c>
      <c r="DD235" s="50"/>
      <c r="DE235"/>
      <c r="DF235"/>
      <c r="DG235"/>
      <c r="DH235"/>
      <c r="DI235"/>
    </row>
    <row r="236" customHeight="1" spans="1:113">
      <c r="A236" s="48" t="s">
        <v>290</v>
      </c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  <c r="AH236" s="51"/>
      <c r="AI236" s="51"/>
      <c r="AJ236" s="51"/>
      <c r="AK236" s="51"/>
      <c r="AL236" s="51"/>
      <c r="AM236" s="51"/>
      <c r="AN236" s="51"/>
      <c r="AO236" s="51"/>
      <c r="AP236" s="51"/>
      <c r="AQ236" s="51"/>
      <c r="AR236" s="51"/>
      <c r="AS236" s="51"/>
      <c r="AT236" s="51"/>
      <c r="AU236" s="51"/>
      <c r="AV236" s="51"/>
      <c r="AW236" s="51"/>
      <c r="AX236" s="51"/>
      <c r="AY236" s="51"/>
      <c r="AZ236" s="51"/>
      <c r="BA236" s="51"/>
      <c r="BB236" s="51"/>
      <c r="BC236" s="51"/>
      <c r="BD236" s="51"/>
      <c r="BE236" s="51"/>
      <c r="BF236" s="51"/>
      <c r="BG236" s="51"/>
      <c r="BH236" s="51"/>
      <c r="BI236" s="51"/>
      <c r="BJ236" s="51"/>
      <c r="BK236" s="51"/>
      <c r="BL236" s="51"/>
      <c r="BM236" s="51"/>
      <c r="BN236" s="51"/>
      <c r="BO236" s="51"/>
      <c r="BP236" s="51"/>
      <c r="BQ236" s="51"/>
      <c r="BR236" s="51"/>
      <c r="BS236" s="51"/>
      <c r="BT236" s="51"/>
      <c r="BU236" s="51"/>
      <c r="BV236" s="51"/>
      <c r="BW236" s="51"/>
      <c r="BX236" s="51"/>
      <c r="BY236" s="51"/>
      <c r="BZ236" s="51"/>
      <c r="CA236" s="51"/>
      <c r="CB236" s="51"/>
      <c r="CC236" s="51"/>
      <c r="CD236" s="51"/>
      <c r="CE236" s="51"/>
      <c r="CF236" s="51"/>
      <c r="CG236" s="51"/>
      <c r="CH236" s="51"/>
      <c r="CI236" s="51"/>
      <c r="CJ236" s="51"/>
      <c r="CK236" s="51"/>
      <c r="CL236" s="51"/>
      <c r="CM236" s="51"/>
      <c r="CN236" s="51"/>
      <c r="CO236" s="51"/>
      <c r="CP236" s="51"/>
      <c r="CQ236" s="51"/>
      <c r="CR236" s="51"/>
      <c r="CS236" s="51"/>
      <c r="CT236" s="42" t="str">
        <f>IFERROR(('基本数据输入&amp;测算结果'!$C$19*7-AVERAGE(J236:AK236)*7-'基本数据输入&amp;测算结果'!$C$23*7)/'基本数据输入&amp;测算结果'!$C$21*'基本数据输入&amp;测算结果'!$C$22,"无数据/数据缺失")</f>
        <v>无数据/数据缺失</v>
      </c>
      <c r="CU236" s="42">
        <f>IF(CT236&lt;0,0,IF(CT236="无数据/数据缺失",0%,IF(CT236&gt;'基本数据输入&amp;测算结果'!$C$20,100%,CT236/'基本数据输入&amp;测算结果'!$C$20)))</f>
        <v>0</v>
      </c>
      <c r="CV236" s="42" t="str">
        <f>IFERROR((AVERAGE(AL236:AS236)*2-'基本数据输入&amp;测算结果'!$C$24*2)/'基本数据输入&amp;测算结果'!$C$21/'基本数据输入&amp;测算结果'!$C$22,"无数据/数据缺失")</f>
        <v>无数据/数据缺失</v>
      </c>
      <c r="CW236" s="42">
        <f>IF(CV236&lt;0,0,IF(CV236="无数据/数据缺失",0%,IF(CV236&gt;'基本数据输入&amp;测算结果'!$C$20*CU236,CU236,CV236/'基本数据输入&amp;测算结果'!$C$20*CU236)))</f>
        <v>0</v>
      </c>
      <c r="CX236" s="42" t="str">
        <f>IFERROR(('基本数据输入&amp;测算结果'!$C$19*2-AVERAGE(AT236:BA236)*2-'基本数据输入&amp;测算结果'!$C$23*2)/'基本数据输入&amp;测算结果'!$C$21*'基本数据输入&amp;测算结果'!$C$22,"无数据/数据缺失")</f>
        <v>无数据/数据缺失</v>
      </c>
      <c r="CY236" s="42">
        <f>IF(CX236&lt;0,0,IF(CX236="无数据/数据缺失",0%,IF(CX236&gt;'基本数据输入&amp;测算结果'!$C$20,100%,CX236/'基本数据输入&amp;测算结果'!$C$20)))</f>
        <v>0</v>
      </c>
      <c r="CZ236" s="42" t="str">
        <f>IFERROR((AVERAGE(BN236:CS236)*8-'基本数据输入&amp;测算结果'!$C$24*8)/'基本数据输入&amp;测算结果'!$C$21/'基本数据输入&amp;测算结果'!$C$22,"无数据/数据缺失")</f>
        <v>无数据/数据缺失</v>
      </c>
      <c r="DA236" s="42">
        <f>IF(CZ236&lt;0,0,IF(CZ236="无数据/数据缺失",0,IF('基本数据输入&amp;测算结果'!$C$20*CY236&gt;CZ236,CZ236/'基本数据输入&amp;测算结果'!$C$20*CY236,CY236)))</f>
        <v>0</v>
      </c>
      <c r="DB236" s="49">
        <f t="shared" si="11"/>
        <v>0</v>
      </c>
      <c r="DC236" s="50">
        <f>IF(DA236=0,0,IF(AVERAGE(CD236:CK236)*2&gt;'基本数据输入&amp;测算结果'!$C$20*DA236,100%,AVERAGE(CD236:CK236)*2/('基本数据输入&amp;测算结果'!$C$20*DA236)))</f>
        <v>0</v>
      </c>
      <c r="DD236" s="50"/>
      <c r="DE236"/>
      <c r="DF236"/>
      <c r="DG236"/>
      <c r="DH236"/>
      <c r="DI236"/>
    </row>
    <row r="237" customHeight="1" spans="1:113">
      <c r="A237" s="48" t="s">
        <v>291</v>
      </c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  <c r="AG237" s="51"/>
      <c r="AH237" s="51"/>
      <c r="AI237" s="51"/>
      <c r="AJ237" s="51"/>
      <c r="AK237" s="51"/>
      <c r="AL237" s="51"/>
      <c r="AM237" s="51"/>
      <c r="AN237" s="51"/>
      <c r="AO237" s="51"/>
      <c r="AP237" s="51"/>
      <c r="AQ237" s="51"/>
      <c r="AR237" s="51"/>
      <c r="AS237" s="51"/>
      <c r="AT237" s="51"/>
      <c r="AU237" s="51"/>
      <c r="AV237" s="51"/>
      <c r="AW237" s="51"/>
      <c r="AX237" s="51"/>
      <c r="AY237" s="51"/>
      <c r="AZ237" s="51"/>
      <c r="BA237" s="51"/>
      <c r="BB237" s="51"/>
      <c r="BC237" s="51"/>
      <c r="BD237" s="51"/>
      <c r="BE237" s="51"/>
      <c r="BF237" s="51"/>
      <c r="BG237" s="51"/>
      <c r="BH237" s="51"/>
      <c r="BI237" s="51"/>
      <c r="BJ237" s="51"/>
      <c r="BK237" s="51"/>
      <c r="BL237" s="51"/>
      <c r="BM237" s="51"/>
      <c r="BN237" s="51"/>
      <c r="BO237" s="51"/>
      <c r="BP237" s="51"/>
      <c r="BQ237" s="51"/>
      <c r="BR237" s="51"/>
      <c r="BS237" s="51"/>
      <c r="BT237" s="51"/>
      <c r="BU237" s="51"/>
      <c r="BV237" s="51"/>
      <c r="BW237" s="51"/>
      <c r="BX237" s="51"/>
      <c r="BY237" s="51"/>
      <c r="BZ237" s="51"/>
      <c r="CA237" s="51"/>
      <c r="CB237" s="51"/>
      <c r="CC237" s="51"/>
      <c r="CD237" s="51"/>
      <c r="CE237" s="51"/>
      <c r="CF237" s="51"/>
      <c r="CG237" s="51"/>
      <c r="CH237" s="51"/>
      <c r="CI237" s="51"/>
      <c r="CJ237" s="51"/>
      <c r="CK237" s="51"/>
      <c r="CL237" s="51"/>
      <c r="CM237" s="51"/>
      <c r="CN237" s="51"/>
      <c r="CO237" s="51"/>
      <c r="CP237" s="51"/>
      <c r="CQ237" s="51"/>
      <c r="CR237" s="51"/>
      <c r="CS237" s="51"/>
      <c r="CT237" s="42" t="str">
        <f>IFERROR(('基本数据输入&amp;测算结果'!$C$19*7-AVERAGE(J237:AK237)*7-'基本数据输入&amp;测算结果'!$C$23*7)/'基本数据输入&amp;测算结果'!$C$21*'基本数据输入&amp;测算结果'!$C$22,"无数据/数据缺失")</f>
        <v>无数据/数据缺失</v>
      </c>
      <c r="CU237" s="42">
        <f>IF(CT237&lt;0,0,IF(CT237="无数据/数据缺失",0%,IF(CT237&gt;'基本数据输入&amp;测算结果'!$C$20,100%,CT237/'基本数据输入&amp;测算结果'!$C$20)))</f>
        <v>0</v>
      </c>
      <c r="CV237" s="42" t="str">
        <f>IFERROR((AVERAGE(AL237:AS237)*2-'基本数据输入&amp;测算结果'!$C$24*2)/'基本数据输入&amp;测算结果'!$C$21/'基本数据输入&amp;测算结果'!$C$22,"无数据/数据缺失")</f>
        <v>无数据/数据缺失</v>
      </c>
      <c r="CW237" s="42">
        <f>IF(CV237&lt;0,0,IF(CV237="无数据/数据缺失",0%,IF(CV237&gt;'基本数据输入&amp;测算结果'!$C$20*CU237,CU237,CV237/'基本数据输入&amp;测算结果'!$C$20*CU237)))</f>
        <v>0</v>
      </c>
      <c r="CX237" s="42" t="str">
        <f>IFERROR(('基本数据输入&amp;测算结果'!$C$19*2-AVERAGE(AT237:BA237)*2-'基本数据输入&amp;测算结果'!$C$23*2)/'基本数据输入&amp;测算结果'!$C$21*'基本数据输入&amp;测算结果'!$C$22,"无数据/数据缺失")</f>
        <v>无数据/数据缺失</v>
      </c>
      <c r="CY237" s="42">
        <f>IF(CX237&lt;0,0,IF(CX237="无数据/数据缺失",0%,IF(CX237&gt;'基本数据输入&amp;测算结果'!$C$20,100%,CX237/'基本数据输入&amp;测算结果'!$C$20)))</f>
        <v>0</v>
      </c>
      <c r="CZ237" s="42" t="str">
        <f>IFERROR((AVERAGE(BN237:CS237)*8-'基本数据输入&amp;测算结果'!$C$24*8)/'基本数据输入&amp;测算结果'!$C$21/'基本数据输入&amp;测算结果'!$C$22,"无数据/数据缺失")</f>
        <v>无数据/数据缺失</v>
      </c>
      <c r="DA237" s="42">
        <f>IF(CZ237&lt;0,0,IF(CZ237="无数据/数据缺失",0,IF('基本数据输入&amp;测算结果'!$C$20*CY237&gt;CZ237,CZ237/'基本数据输入&amp;测算结果'!$C$20*CY237,CY237)))</f>
        <v>0</v>
      </c>
      <c r="DB237" s="49">
        <f t="shared" si="11"/>
        <v>0</v>
      </c>
      <c r="DC237" s="50">
        <f>IF(DA237=0,0,IF(AVERAGE(CD237:CK237)*2&gt;'基本数据输入&amp;测算结果'!$C$20*DA237,100%,AVERAGE(CD237:CK237)*2/('基本数据输入&amp;测算结果'!$C$20*DA237)))</f>
        <v>0</v>
      </c>
      <c r="DD237" s="50"/>
      <c r="DE237"/>
      <c r="DF237"/>
      <c r="DG237"/>
      <c r="DH237"/>
      <c r="DI237"/>
    </row>
    <row r="238" customHeight="1" spans="1:113">
      <c r="A238" s="48" t="s">
        <v>292</v>
      </c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  <c r="AG238" s="51"/>
      <c r="AH238" s="51"/>
      <c r="AI238" s="51"/>
      <c r="AJ238" s="51"/>
      <c r="AK238" s="51"/>
      <c r="AL238" s="51"/>
      <c r="AM238" s="51"/>
      <c r="AN238" s="51"/>
      <c r="AO238" s="51"/>
      <c r="AP238" s="51"/>
      <c r="AQ238" s="51"/>
      <c r="AR238" s="51"/>
      <c r="AS238" s="51"/>
      <c r="AT238" s="51"/>
      <c r="AU238" s="51"/>
      <c r="AV238" s="51"/>
      <c r="AW238" s="51"/>
      <c r="AX238" s="51"/>
      <c r="AY238" s="51"/>
      <c r="AZ238" s="51"/>
      <c r="BA238" s="51"/>
      <c r="BB238" s="51"/>
      <c r="BC238" s="51"/>
      <c r="BD238" s="51"/>
      <c r="BE238" s="51"/>
      <c r="BF238" s="51"/>
      <c r="BG238" s="51"/>
      <c r="BH238" s="51"/>
      <c r="BI238" s="51"/>
      <c r="BJ238" s="51"/>
      <c r="BK238" s="51"/>
      <c r="BL238" s="51"/>
      <c r="BM238" s="51"/>
      <c r="BN238" s="51"/>
      <c r="BO238" s="51"/>
      <c r="BP238" s="51"/>
      <c r="BQ238" s="51"/>
      <c r="BR238" s="51"/>
      <c r="BS238" s="51"/>
      <c r="BT238" s="51"/>
      <c r="BU238" s="51"/>
      <c r="BV238" s="51"/>
      <c r="BW238" s="51"/>
      <c r="BX238" s="51"/>
      <c r="BY238" s="51"/>
      <c r="BZ238" s="51"/>
      <c r="CA238" s="51"/>
      <c r="CB238" s="51"/>
      <c r="CC238" s="51"/>
      <c r="CD238" s="51"/>
      <c r="CE238" s="51"/>
      <c r="CF238" s="51"/>
      <c r="CG238" s="51"/>
      <c r="CH238" s="51"/>
      <c r="CI238" s="51"/>
      <c r="CJ238" s="51"/>
      <c r="CK238" s="51"/>
      <c r="CL238" s="51"/>
      <c r="CM238" s="51"/>
      <c r="CN238" s="51"/>
      <c r="CO238" s="51"/>
      <c r="CP238" s="51"/>
      <c r="CQ238" s="51"/>
      <c r="CR238" s="51"/>
      <c r="CS238" s="51"/>
      <c r="CT238" s="42" t="str">
        <f>IFERROR(('基本数据输入&amp;测算结果'!$C$19*7-AVERAGE(J238:AK238)*7-'基本数据输入&amp;测算结果'!$C$23*7)/'基本数据输入&amp;测算结果'!$C$21*'基本数据输入&amp;测算结果'!$C$22,"无数据/数据缺失")</f>
        <v>无数据/数据缺失</v>
      </c>
      <c r="CU238" s="42">
        <f>IF(CT238&lt;0,0,IF(CT238="无数据/数据缺失",0%,IF(CT238&gt;'基本数据输入&amp;测算结果'!$C$20,100%,CT238/'基本数据输入&amp;测算结果'!$C$20)))</f>
        <v>0</v>
      </c>
      <c r="CV238" s="42" t="str">
        <f>IFERROR((AVERAGE(AL238:AS238)*2-'基本数据输入&amp;测算结果'!$C$24*2)/'基本数据输入&amp;测算结果'!$C$21/'基本数据输入&amp;测算结果'!$C$22,"无数据/数据缺失")</f>
        <v>无数据/数据缺失</v>
      </c>
      <c r="CW238" s="42">
        <f>IF(CV238&lt;0,0,IF(CV238="无数据/数据缺失",0%,IF(CV238&gt;'基本数据输入&amp;测算结果'!$C$20*CU238,CU238,CV238/'基本数据输入&amp;测算结果'!$C$20*CU238)))</f>
        <v>0</v>
      </c>
      <c r="CX238" s="42" t="str">
        <f>IFERROR(('基本数据输入&amp;测算结果'!$C$19*2-AVERAGE(AT238:BA238)*2-'基本数据输入&amp;测算结果'!$C$23*2)/'基本数据输入&amp;测算结果'!$C$21*'基本数据输入&amp;测算结果'!$C$22,"无数据/数据缺失")</f>
        <v>无数据/数据缺失</v>
      </c>
      <c r="CY238" s="42">
        <f>IF(CX238&lt;0,0,IF(CX238="无数据/数据缺失",0%,IF(CX238&gt;'基本数据输入&amp;测算结果'!$C$20,100%,CX238/'基本数据输入&amp;测算结果'!$C$20)))</f>
        <v>0</v>
      </c>
      <c r="CZ238" s="42" t="str">
        <f>IFERROR((AVERAGE(BN238:CS238)*8-'基本数据输入&amp;测算结果'!$C$24*8)/'基本数据输入&amp;测算结果'!$C$21/'基本数据输入&amp;测算结果'!$C$22,"无数据/数据缺失")</f>
        <v>无数据/数据缺失</v>
      </c>
      <c r="DA238" s="42">
        <f>IF(CZ238&lt;0,0,IF(CZ238="无数据/数据缺失",0,IF('基本数据输入&amp;测算结果'!$C$20*CY238&gt;CZ238,CZ238/'基本数据输入&amp;测算结果'!$C$20*CY238,CY238)))</f>
        <v>0</v>
      </c>
      <c r="DB238" s="49">
        <f t="shared" si="11"/>
        <v>0</v>
      </c>
      <c r="DC238" s="50">
        <f>IF(DA238=0,0,IF(AVERAGE(CD238:CK238)*2&gt;'基本数据输入&amp;测算结果'!$C$20*DA238,100%,AVERAGE(CD238:CK238)*2/('基本数据输入&amp;测算结果'!$C$20*DA238)))</f>
        <v>0</v>
      </c>
      <c r="DD238" s="50"/>
      <c r="DE238"/>
      <c r="DF238"/>
      <c r="DG238"/>
      <c r="DH238"/>
      <c r="DI238"/>
    </row>
    <row r="239" customHeight="1" spans="1:113">
      <c r="A239" s="48" t="s">
        <v>293</v>
      </c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51"/>
      <c r="AI239" s="51"/>
      <c r="AJ239" s="51"/>
      <c r="AK239" s="51"/>
      <c r="AL239" s="51"/>
      <c r="AM239" s="51"/>
      <c r="AN239" s="51"/>
      <c r="AO239" s="51"/>
      <c r="AP239" s="51"/>
      <c r="AQ239" s="51"/>
      <c r="AR239" s="51"/>
      <c r="AS239" s="51"/>
      <c r="AT239" s="51"/>
      <c r="AU239" s="51"/>
      <c r="AV239" s="51"/>
      <c r="AW239" s="51"/>
      <c r="AX239" s="51"/>
      <c r="AY239" s="51"/>
      <c r="AZ239" s="51"/>
      <c r="BA239" s="51"/>
      <c r="BB239" s="51"/>
      <c r="BC239" s="51"/>
      <c r="BD239" s="51"/>
      <c r="BE239" s="51"/>
      <c r="BF239" s="51"/>
      <c r="BG239" s="51"/>
      <c r="BH239" s="51"/>
      <c r="BI239" s="51"/>
      <c r="BJ239" s="51"/>
      <c r="BK239" s="51"/>
      <c r="BL239" s="51"/>
      <c r="BM239" s="51"/>
      <c r="BN239" s="51"/>
      <c r="BO239" s="51"/>
      <c r="BP239" s="51"/>
      <c r="BQ239" s="51"/>
      <c r="BR239" s="51"/>
      <c r="BS239" s="51"/>
      <c r="BT239" s="51"/>
      <c r="BU239" s="51"/>
      <c r="BV239" s="51"/>
      <c r="BW239" s="51"/>
      <c r="BX239" s="51"/>
      <c r="BY239" s="51"/>
      <c r="BZ239" s="51"/>
      <c r="CA239" s="51"/>
      <c r="CB239" s="51"/>
      <c r="CC239" s="51"/>
      <c r="CD239" s="51"/>
      <c r="CE239" s="51"/>
      <c r="CF239" s="51"/>
      <c r="CG239" s="51"/>
      <c r="CH239" s="51"/>
      <c r="CI239" s="51"/>
      <c r="CJ239" s="51"/>
      <c r="CK239" s="51"/>
      <c r="CL239" s="51"/>
      <c r="CM239" s="51"/>
      <c r="CN239" s="51"/>
      <c r="CO239" s="51"/>
      <c r="CP239" s="51"/>
      <c r="CQ239" s="51"/>
      <c r="CR239" s="51"/>
      <c r="CS239" s="51"/>
      <c r="CT239" s="42" t="str">
        <f>IFERROR(('基本数据输入&amp;测算结果'!$C$19*7-AVERAGE(J239:AK239)*7-'基本数据输入&amp;测算结果'!$C$23*7)/'基本数据输入&amp;测算结果'!$C$21*'基本数据输入&amp;测算结果'!$C$22,"无数据/数据缺失")</f>
        <v>无数据/数据缺失</v>
      </c>
      <c r="CU239" s="42">
        <f>IF(CT239&lt;0,0,IF(CT239="无数据/数据缺失",0%,IF(CT239&gt;'基本数据输入&amp;测算结果'!$C$20,100%,CT239/'基本数据输入&amp;测算结果'!$C$20)))</f>
        <v>0</v>
      </c>
      <c r="CV239" s="42" t="str">
        <f>IFERROR((AVERAGE(AL239:AS239)*2-'基本数据输入&amp;测算结果'!$C$24*2)/'基本数据输入&amp;测算结果'!$C$21/'基本数据输入&amp;测算结果'!$C$22,"无数据/数据缺失")</f>
        <v>无数据/数据缺失</v>
      </c>
      <c r="CW239" s="42">
        <f>IF(CV239&lt;0,0,IF(CV239="无数据/数据缺失",0%,IF(CV239&gt;'基本数据输入&amp;测算结果'!$C$20*CU239,CU239,CV239/'基本数据输入&amp;测算结果'!$C$20*CU239)))</f>
        <v>0</v>
      </c>
      <c r="CX239" s="42" t="str">
        <f>IFERROR(('基本数据输入&amp;测算结果'!$C$19*2-AVERAGE(AT239:BA239)*2-'基本数据输入&amp;测算结果'!$C$23*2)/'基本数据输入&amp;测算结果'!$C$21*'基本数据输入&amp;测算结果'!$C$22,"无数据/数据缺失")</f>
        <v>无数据/数据缺失</v>
      </c>
      <c r="CY239" s="42">
        <f>IF(CX239&lt;0,0,IF(CX239="无数据/数据缺失",0%,IF(CX239&gt;'基本数据输入&amp;测算结果'!$C$20,100%,CX239/'基本数据输入&amp;测算结果'!$C$20)))</f>
        <v>0</v>
      </c>
      <c r="CZ239" s="42" t="str">
        <f>IFERROR((AVERAGE(BN239:CS239)*8-'基本数据输入&amp;测算结果'!$C$24*8)/'基本数据输入&amp;测算结果'!$C$21/'基本数据输入&amp;测算结果'!$C$22,"无数据/数据缺失")</f>
        <v>无数据/数据缺失</v>
      </c>
      <c r="DA239" s="42">
        <f>IF(CZ239&lt;0,0,IF(CZ239="无数据/数据缺失",0,IF('基本数据输入&amp;测算结果'!$C$20*CY239&gt;CZ239,CZ239/'基本数据输入&amp;测算结果'!$C$20*CY239,CY239)))</f>
        <v>0</v>
      </c>
      <c r="DB239" s="49">
        <f t="shared" si="11"/>
        <v>0</v>
      </c>
      <c r="DC239" s="50">
        <f>IF(DA239=0,0,IF(AVERAGE(CD239:CK239)*2&gt;'基本数据输入&amp;测算结果'!$C$20*DA239,100%,AVERAGE(CD239:CK239)*2/('基本数据输入&amp;测算结果'!$C$20*DA239)))</f>
        <v>0</v>
      </c>
      <c r="DD239" s="50"/>
      <c r="DE239"/>
      <c r="DF239"/>
      <c r="DG239"/>
      <c r="DH239"/>
      <c r="DI239"/>
    </row>
    <row r="240" customHeight="1" spans="1:113">
      <c r="A240" s="48" t="s">
        <v>294</v>
      </c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  <c r="AI240" s="51"/>
      <c r="AJ240" s="51"/>
      <c r="AK240" s="51"/>
      <c r="AL240" s="51"/>
      <c r="AM240" s="51"/>
      <c r="AN240" s="51"/>
      <c r="AO240" s="51"/>
      <c r="AP240" s="51"/>
      <c r="AQ240" s="51"/>
      <c r="AR240" s="51"/>
      <c r="AS240" s="51"/>
      <c r="AT240" s="51"/>
      <c r="AU240" s="51"/>
      <c r="AV240" s="51"/>
      <c r="AW240" s="51"/>
      <c r="AX240" s="51"/>
      <c r="AY240" s="51"/>
      <c r="AZ240" s="51"/>
      <c r="BA240" s="51"/>
      <c r="BB240" s="51"/>
      <c r="BC240" s="51"/>
      <c r="BD240" s="51"/>
      <c r="BE240" s="51"/>
      <c r="BF240" s="51"/>
      <c r="BG240" s="51"/>
      <c r="BH240" s="51"/>
      <c r="BI240" s="51"/>
      <c r="BJ240" s="51"/>
      <c r="BK240" s="51"/>
      <c r="BL240" s="51"/>
      <c r="BM240" s="51"/>
      <c r="BN240" s="51"/>
      <c r="BO240" s="51"/>
      <c r="BP240" s="51"/>
      <c r="BQ240" s="51"/>
      <c r="BR240" s="51"/>
      <c r="BS240" s="51"/>
      <c r="BT240" s="51"/>
      <c r="BU240" s="51"/>
      <c r="BV240" s="51"/>
      <c r="BW240" s="51"/>
      <c r="BX240" s="51"/>
      <c r="BY240" s="51"/>
      <c r="BZ240" s="51"/>
      <c r="CA240" s="51"/>
      <c r="CB240" s="51"/>
      <c r="CC240" s="51"/>
      <c r="CD240" s="51"/>
      <c r="CE240" s="51"/>
      <c r="CF240" s="51"/>
      <c r="CG240" s="51"/>
      <c r="CH240" s="51"/>
      <c r="CI240" s="51"/>
      <c r="CJ240" s="51"/>
      <c r="CK240" s="51"/>
      <c r="CL240" s="51"/>
      <c r="CM240" s="51"/>
      <c r="CN240" s="51"/>
      <c r="CO240" s="51"/>
      <c r="CP240" s="51"/>
      <c r="CQ240" s="51"/>
      <c r="CR240" s="51"/>
      <c r="CS240" s="51"/>
      <c r="CT240" s="42" t="str">
        <f>IFERROR(('基本数据输入&amp;测算结果'!$C$19*7-AVERAGE(J240:AK240)*7-'基本数据输入&amp;测算结果'!$C$23*7)/'基本数据输入&amp;测算结果'!$C$21*'基本数据输入&amp;测算结果'!$C$22,"无数据/数据缺失")</f>
        <v>无数据/数据缺失</v>
      </c>
      <c r="CU240" s="42">
        <f>IF(CT240&lt;0,0,IF(CT240="无数据/数据缺失",0%,IF(CT240&gt;'基本数据输入&amp;测算结果'!$C$20,100%,CT240/'基本数据输入&amp;测算结果'!$C$20)))</f>
        <v>0</v>
      </c>
      <c r="CV240" s="42" t="str">
        <f>IFERROR((AVERAGE(AL240:AS240)*2-'基本数据输入&amp;测算结果'!$C$24*2)/'基本数据输入&amp;测算结果'!$C$21/'基本数据输入&amp;测算结果'!$C$22,"无数据/数据缺失")</f>
        <v>无数据/数据缺失</v>
      </c>
      <c r="CW240" s="42">
        <f>IF(CV240&lt;0,0,IF(CV240="无数据/数据缺失",0%,IF(CV240&gt;'基本数据输入&amp;测算结果'!$C$20*CU240,CU240,CV240/'基本数据输入&amp;测算结果'!$C$20*CU240)))</f>
        <v>0</v>
      </c>
      <c r="CX240" s="42" t="str">
        <f>IFERROR(('基本数据输入&amp;测算结果'!$C$19*2-AVERAGE(AT240:BA240)*2-'基本数据输入&amp;测算结果'!$C$23*2)/'基本数据输入&amp;测算结果'!$C$21*'基本数据输入&amp;测算结果'!$C$22,"无数据/数据缺失")</f>
        <v>无数据/数据缺失</v>
      </c>
      <c r="CY240" s="42">
        <f>IF(CX240&lt;0,0,IF(CX240="无数据/数据缺失",0%,IF(CX240&gt;'基本数据输入&amp;测算结果'!$C$20,100%,CX240/'基本数据输入&amp;测算结果'!$C$20)))</f>
        <v>0</v>
      </c>
      <c r="CZ240" s="42" t="str">
        <f>IFERROR((AVERAGE(BN240:CS240)*8-'基本数据输入&amp;测算结果'!$C$24*8)/'基本数据输入&amp;测算结果'!$C$21/'基本数据输入&amp;测算结果'!$C$22,"无数据/数据缺失")</f>
        <v>无数据/数据缺失</v>
      </c>
      <c r="DA240" s="42">
        <f>IF(CZ240&lt;0,0,IF(CZ240="无数据/数据缺失",0,IF('基本数据输入&amp;测算结果'!$C$20*CY240&gt;CZ240,CZ240/'基本数据输入&amp;测算结果'!$C$20*CY240,CY240)))</f>
        <v>0</v>
      </c>
      <c r="DB240" s="49">
        <f t="shared" si="11"/>
        <v>0</v>
      </c>
      <c r="DC240" s="50">
        <f>IF(DA240=0,0,IF(AVERAGE(CD240:CK240)*2&gt;'基本数据输入&amp;测算结果'!$C$20*DA240,100%,AVERAGE(CD240:CK240)*2/('基本数据输入&amp;测算结果'!$C$20*DA240)))</f>
        <v>0</v>
      </c>
      <c r="DD240" s="50"/>
      <c r="DE240"/>
      <c r="DF240"/>
      <c r="DG240"/>
      <c r="DH240"/>
      <c r="DI240"/>
    </row>
    <row r="241" customHeight="1" spans="1:113">
      <c r="A241" s="48" t="s">
        <v>295</v>
      </c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  <c r="AI241" s="51"/>
      <c r="AJ241" s="51"/>
      <c r="AK241" s="51"/>
      <c r="AL241" s="51"/>
      <c r="AM241" s="51"/>
      <c r="AN241" s="51"/>
      <c r="AO241" s="51"/>
      <c r="AP241" s="51"/>
      <c r="AQ241" s="51"/>
      <c r="AR241" s="51"/>
      <c r="AS241" s="51"/>
      <c r="AT241" s="51"/>
      <c r="AU241" s="51"/>
      <c r="AV241" s="51"/>
      <c r="AW241" s="51"/>
      <c r="AX241" s="51"/>
      <c r="AY241" s="51"/>
      <c r="AZ241" s="51"/>
      <c r="BA241" s="51"/>
      <c r="BB241" s="51"/>
      <c r="BC241" s="51"/>
      <c r="BD241" s="51"/>
      <c r="BE241" s="51"/>
      <c r="BF241" s="51"/>
      <c r="BG241" s="51"/>
      <c r="BH241" s="51"/>
      <c r="BI241" s="51"/>
      <c r="BJ241" s="51"/>
      <c r="BK241" s="51"/>
      <c r="BL241" s="51"/>
      <c r="BM241" s="51"/>
      <c r="BN241" s="51"/>
      <c r="BO241" s="51"/>
      <c r="BP241" s="51"/>
      <c r="BQ241" s="51"/>
      <c r="BR241" s="51"/>
      <c r="BS241" s="51"/>
      <c r="BT241" s="51"/>
      <c r="BU241" s="51"/>
      <c r="BV241" s="51"/>
      <c r="BW241" s="51"/>
      <c r="BX241" s="51"/>
      <c r="BY241" s="51"/>
      <c r="BZ241" s="51"/>
      <c r="CA241" s="51"/>
      <c r="CB241" s="51"/>
      <c r="CC241" s="51"/>
      <c r="CD241" s="51"/>
      <c r="CE241" s="51"/>
      <c r="CF241" s="51"/>
      <c r="CG241" s="51"/>
      <c r="CH241" s="51"/>
      <c r="CI241" s="51"/>
      <c r="CJ241" s="51"/>
      <c r="CK241" s="51"/>
      <c r="CL241" s="51"/>
      <c r="CM241" s="51"/>
      <c r="CN241" s="51"/>
      <c r="CO241" s="51"/>
      <c r="CP241" s="51"/>
      <c r="CQ241" s="51"/>
      <c r="CR241" s="51"/>
      <c r="CS241" s="51"/>
      <c r="CT241" s="42" t="str">
        <f>IFERROR(('基本数据输入&amp;测算结果'!$C$19*7-AVERAGE(J241:AK241)*7-'基本数据输入&amp;测算结果'!$C$23*7)/'基本数据输入&amp;测算结果'!$C$21*'基本数据输入&amp;测算结果'!$C$22,"无数据/数据缺失")</f>
        <v>无数据/数据缺失</v>
      </c>
      <c r="CU241" s="42">
        <f>IF(CT241&lt;0,0,IF(CT241="无数据/数据缺失",0%,IF(CT241&gt;'基本数据输入&amp;测算结果'!$C$20,100%,CT241/'基本数据输入&amp;测算结果'!$C$20)))</f>
        <v>0</v>
      </c>
      <c r="CV241" s="42" t="str">
        <f>IFERROR((AVERAGE(AL241:AS241)*2-'基本数据输入&amp;测算结果'!$C$24*2)/'基本数据输入&amp;测算结果'!$C$21/'基本数据输入&amp;测算结果'!$C$22,"无数据/数据缺失")</f>
        <v>无数据/数据缺失</v>
      </c>
      <c r="CW241" s="42">
        <f>IF(CV241&lt;0,0,IF(CV241="无数据/数据缺失",0%,IF(CV241&gt;'基本数据输入&amp;测算结果'!$C$20*CU241,CU241,CV241/'基本数据输入&amp;测算结果'!$C$20*CU241)))</f>
        <v>0</v>
      </c>
      <c r="CX241" s="42" t="str">
        <f>IFERROR(('基本数据输入&amp;测算结果'!$C$19*2-AVERAGE(AT241:BA241)*2-'基本数据输入&amp;测算结果'!$C$23*2)/'基本数据输入&amp;测算结果'!$C$21*'基本数据输入&amp;测算结果'!$C$22,"无数据/数据缺失")</f>
        <v>无数据/数据缺失</v>
      </c>
      <c r="CY241" s="42">
        <f>IF(CX241&lt;0,0,IF(CX241="无数据/数据缺失",0%,IF(CX241&gt;'基本数据输入&amp;测算结果'!$C$20,100%,CX241/'基本数据输入&amp;测算结果'!$C$20)))</f>
        <v>0</v>
      </c>
      <c r="CZ241" s="42" t="str">
        <f>IFERROR((AVERAGE(BN241:CS241)*8-'基本数据输入&amp;测算结果'!$C$24*8)/'基本数据输入&amp;测算结果'!$C$21/'基本数据输入&amp;测算结果'!$C$22,"无数据/数据缺失")</f>
        <v>无数据/数据缺失</v>
      </c>
      <c r="DA241" s="42">
        <f>IF(CZ241&lt;0,0,IF(CZ241="无数据/数据缺失",0,IF('基本数据输入&amp;测算结果'!$C$20*CY241&gt;CZ241,CZ241/'基本数据输入&amp;测算结果'!$C$20*CY241,CY241)))</f>
        <v>0</v>
      </c>
      <c r="DB241" s="49">
        <f t="shared" si="11"/>
        <v>0</v>
      </c>
      <c r="DC241" s="50">
        <f>IF(DA241=0,0,IF(AVERAGE(CD241:CK241)*2&gt;'基本数据输入&amp;测算结果'!$C$20*DA241,100%,AVERAGE(CD241:CK241)*2/('基本数据输入&amp;测算结果'!$C$20*DA241)))</f>
        <v>0</v>
      </c>
      <c r="DD241" s="50"/>
      <c r="DE241"/>
      <c r="DF241"/>
      <c r="DG241"/>
      <c r="DH241"/>
      <c r="DI241"/>
    </row>
    <row r="242" customHeight="1" spans="1:113">
      <c r="A242" s="48" t="s">
        <v>296</v>
      </c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51"/>
      <c r="AJ242" s="51"/>
      <c r="AK242" s="51"/>
      <c r="AL242" s="51"/>
      <c r="AM242" s="51"/>
      <c r="AN242" s="51"/>
      <c r="AO242" s="51"/>
      <c r="AP242" s="51"/>
      <c r="AQ242" s="51"/>
      <c r="AR242" s="51"/>
      <c r="AS242" s="51"/>
      <c r="AT242" s="51"/>
      <c r="AU242" s="51"/>
      <c r="AV242" s="51"/>
      <c r="AW242" s="51"/>
      <c r="AX242" s="51"/>
      <c r="AY242" s="51"/>
      <c r="AZ242" s="51"/>
      <c r="BA242" s="51"/>
      <c r="BB242" s="51"/>
      <c r="BC242" s="51"/>
      <c r="BD242" s="51"/>
      <c r="BE242" s="51"/>
      <c r="BF242" s="51"/>
      <c r="BG242" s="51"/>
      <c r="BH242" s="51"/>
      <c r="BI242" s="51"/>
      <c r="BJ242" s="51"/>
      <c r="BK242" s="51"/>
      <c r="BL242" s="51"/>
      <c r="BM242" s="51"/>
      <c r="BN242" s="51"/>
      <c r="BO242" s="51"/>
      <c r="BP242" s="51"/>
      <c r="BQ242" s="51"/>
      <c r="BR242" s="51"/>
      <c r="BS242" s="51"/>
      <c r="BT242" s="51"/>
      <c r="BU242" s="51"/>
      <c r="BV242" s="51"/>
      <c r="BW242" s="51"/>
      <c r="BX242" s="51"/>
      <c r="BY242" s="51"/>
      <c r="BZ242" s="51"/>
      <c r="CA242" s="51"/>
      <c r="CB242" s="51"/>
      <c r="CC242" s="51"/>
      <c r="CD242" s="51"/>
      <c r="CE242" s="51"/>
      <c r="CF242" s="51"/>
      <c r="CG242" s="51"/>
      <c r="CH242" s="51"/>
      <c r="CI242" s="51"/>
      <c r="CJ242" s="51"/>
      <c r="CK242" s="51"/>
      <c r="CL242" s="51"/>
      <c r="CM242" s="51"/>
      <c r="CN242" s="51"/>
      <c r="CO242" s="51"/>
      <c r="CP242" s="51"/>
      <c r="CQ242" s="51"/>
      <c r="CR242" s="51"/>
      <c r="CS242" s="51"/>
      <c r="CT242" s="42" t="str">
        <f>IFERROR(('基本数据输入&amp;测算结果'!$C$19*7-AVERAGE(J242:AK242)*7-'基本数据输入&amp;测算结果'!$C$23*7)/'基本数据输入&amp;测算结果'!$C$21*'基本数据输入&amp;测算结果'!$C$22,"无数据/数据缺失")</f>
        <v>无数据/数据缺失</v>
      </c>
      <c r="CU242" s="42">
        <f>IF(CT242&lt;0,0,IF(CT242="无数据/数据缺失",0%,IF(CT242&gt;'基本数据输入&amp;测算结果'!$C$20,100%,CT242/'基本数据输入&amp;测算结果'!$C$20)))</f>
        <v>0</v>
      </c>
      <c r="CV242" s="42" t="str">
        <f>IFERROR((AVERAGE(AL242:AS242)*2-'基本数据输入&amp;测算结果'!$C$24*2)/'基本数据输入&amp;测算结果'!$C$21/'基本数据输入&amp;测算结果'!$C$22,"无数据/数据缺失")</f>
        <v>无数据/数据缺失</v>
      </c>
      <c r="CW242" s="42">
        <f>IF(CV242&lt;0,0,IF(CV242="无数据/数据缺失",0%,IF(CV242&gt;'基本数据输入&amp;测算结果'!$C$20*CU242,CU242,CV242/'基本数据输入&amp;测算结果'!$C$20*CU242)))</f>
        <v>0</v>
      </c>
      <c r="CX242" s="42" t="str">
        <f>IFERROR(('基本数据输入&amp;测算结果'!$C$19*2-AVERAGE(AT242:BA242)*2-'基本数据输入&amp;测算结果'!$C$23*2)/'基本数据输入&amp;测算结果'!$C$21*'基本数据输入&amp;测算结果'!$C$22,"无数据/数据缺失")</f>
        <v>无数据/数据缺失</v>
      </c>
      <c r="CY242" s="42">
        <f>IF(CX242&lt;0,0,IF(CX242="无数据/数据缺失",0%,IF(CX242&gt;'基本数据输入&amp;测算结果'!$C$20,100%,CX242/'基本数据输入&amp;测算结果'!$C$20)))</f>
        <v>0</v>
      </c>
      <c r="CZ242" s="42" t="str">
        <f>IFERROR((AVERAGE(BN242:CS242)*8-'基本数据输入&amp;测算结果'!$C$24*8)/'基本数据输入&amp;测算结果'!$C$21/'基本数据输入&amp;测算结果'!$C$22,"无数据/数据缺失")</f>
        <v>无数据/数据缺失</v>
      </c>
      <c r="DA242" s="42">
        <f>IF(CZ242&lt;0,0,IF(CZ242="无数据/数据缺失",0,IF('基本数据输入&amp;测算结果'!$C$20*CY242&gt;CZ242,CZ242/'基本数据输入&amp;测算结果'!$C$20*CY242,CY242)))</f>
        <v>0</v>
      </c>
      <c r="DB242" s="49">
        <f t="shared" si="11"/>
        <v>0</v>
      </c>
      <c r="DC242" s="50">
        <f>IF(DA242=0,0,IF(AVERAGE(CD242:CK242)*2&gt;'基本数据输入&amp;测算结果'!$C$20*DA242,100%,AVERAGE(CD242:CK242)*2/('基本数据输入&amp;测算结果'!$C$20*DA242)))</f>
        <v>0</v>
      </c>
      <c r="DD242" s="50"/>
      <c r="DE242"/>
      <c r="DF242"/>
      <c r="DG242"/>
      <c r="DH242"/>
      <c r="DI242"/>
    </row>
    <row r="243" customHeight="1" spans="1:113">
      <c r="A243" s="48" t="s">
        <v>297</v>
      </c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  <c r="AI243" s="51"/>
      <c r="AJ243" s="51"/>
      <c r="AK243" s="51"/>
      <c r="AL243" s="51"/>
      <c r="AM243" s="51"/>
      <c r="AN243" s="51"/>
      <c r="AO243" s="51"/>
      <c r="AP243" s="51"/>
      <c r="AQ243" s="51"/>
      <c r="AR243" s="51"/>
      <c r="AS243" s="51"/>
      <c r="AT243" s="51"/>
      <c r="AU243" s="51"/>
      <c r="AV243" s="51"/>
      <c r="AW243" s="51"/>
      <c r="AX243" s="51"/>
      <c r="AY243" s="51"/>
      <c r="AZ243" s="51"/>
      <c r="BA243" s="51"/>
      <c r="BB243" s="51"/>
      <c r="BC243" s="51"/>
      <c r="BD243" s="51"/>
      <c r="BE243" s="51"/>
      <c r="BF243" s="51"/>
      <c r="BG243" s="51"/>
      <c r="BH243" s="51"/>
      <c r="BI243" s="51"/>
      <c r="BJ243" s="51"/>
      <c r="BK243" s="51"/>
      <c r="BL243" s="51"/>
      <c r="BM243" s="51"/>
      <c r="BN243" s="51"/>
      <c r="BO243" s="51"/>
      <c r="BP243" s="51"/>
      <c r="BQ243" s="51"/>
      <c r="BR243" s="51"/>
      <c r="BS243" s="51"/>
      <c r="BT243" s="51"/>
      <c r="BU243" s="51"/>
      <c r="BV243" s="51"/>
      <c r="BW243" s="51"/>
      <c r="BX243" s="51"/>
      <c r="BY243" s="51"/>
      <c r="BZ243" s="51"/>
      <c r="CA243" s="51"/>
      <c r="CB243" s="51"/>
      <c r="CC243" s="51"/>
      <c r="CD243" s="51"/>
      <c r="CE243" s="51"/>
      <c r="CF243" s="51"/>
      <c r="CG243" s="51"/>
      <c r="CH243" s="51"/>
      <c r="CI243" s="51"/>
      <c r="CJ243" s="51"/>
      <c r="CK243" s="51"/>
      <c r="CL243" s="51"/>
      <c r="CM243" s="51"/>
      <c r="CN243" s="51"/>
      <c r="CO243" s="51"/>
      <c r="CP243" s="51"/>
      <c r="CQ243" s="51"/>
      <c r="CR243" s="51"/>
      <c r="CS243" s="51"/>
      <c r="CT243" s="42" t="str">
        <f>IFERROR(('基本数据输入&amp;测算结果'!$C$19*7-AVERAGE(J243:AK243)*7-'基本数据输入&amp;测算结果'!$C$23*7)/'基本数据输入&amp;测算结果'!$C$21*'基本数据输入&amp;测算结果'!$C$22,"无数据/数据缺失")</f>
        <v>无数据/数据缺失</v>
      </c>
      <c r="CU243" s="42">
        <f>IF(CT243&lt;0,0,IF(CT243="无数据/数据缺失",0%,IF(CT243&gt;'基本数据输入&amp;测算结果'!$C$20,100%,CT243/'基本数据输入&amp;测算结果'!$C$20)))</f>
        <v>0</v>
      </c>
      <c r="CV243" s="42" t="str">
        <f>IFERROR((AVERAGE(AL243:AS243)*2-'基本数据输入&amp;测算结果'!$C$24*2)/'基本数据输入&amp;测算结果'!$C$21/'基本数据输入&amp;测算结果'!$C$22,"无数据/数据缺失")</f>
        <v>无数据/数据缺失</v>
      </c>
      <c r="CW243" s="42">
        <f>IF(CV243&lt;0,0,IF(CV243="无数据/数据缺失",0%,IF(CV243&gt;'基本数据输入&amp;测算结果'!$C$20*CU243,CU243,CV243/'基本数据输入&amp;测算结果'!$C$20*CU243)))</f>
        <v>0</v>
      </c>
      <c r="CX243" s="42" t="str">
        <f>IFERROR(('基本数据输入&amp;测算结果'!$C$19*2-AVERAGE(AT243:BA243)*2-'基本数据输入&amp;测算结果'!$C$23*2)/'基本数据输入&amp;测算结果'!$C$21*'基本数据输入&amp;测算结果'!$C$22,"无数据/数据缺失")</f>
        <v>无数据/数据缺失</v>
      </c>
      <c r="CY243" s="42">
        <f>IF(CX243&lt;0,0,IF(CX243="无数据/数据缺失",0%,IF(CX243&gt;'基本数据输入&amp;测算结果'!$C$20,100%,CX243/'基本数据输入&amp;测算结果'!$C$20)))</f>
        <v>0</v>
      </c>
      <c r="CZ243" s="42" t="str">
        <f>IFERROR((AVERAGE(BN243:CS243)*8-'基本数据输入&amp;测算结果'!$C$24*8)/'基本数据输入&amp;测算结果'!$C$21/'基本数据输入&amp;测算结果'!$C$22,"无数据/数据缺失")</f>
        <v>无数据/数据缺失</v>
      </c>
      <c r="DA243" s="42">
        <f>IF(CZ243&lt;0,0,IF(CZ243="无数据/数据缺失",0,IF('基本数据输入&amp;测算结果'!$C$20*CY243&gt;CZ243,CZ243/'基本数据输入&amp;测算结果'!$C$20*CY243,CY243)))</f>
        <v>0</v>
      </c>
      <c r="DB243" s="49">
        <f t="shared" si="11"/>
        <v>0</v>
      </c>
      <c r="DC243" s="50">
        <f>IF(DA243=0,0,IF(AVERAGE(CD243:CK243)*2&gt;'基本数据输入&amp;测算结果'!$C$20*DA243,100%,AVERAGE(CD243:CK243)*2/('基本数据输入&amp;测算结果'!$C$20*DA243)))</f>
        <v>0</v>
      </c>
      <c r="DD243" s="50"/>
      <c r="DE243"/>
      <c r="DF243"/>
      <c r="DG243"/>
      <c r="DH243"/>
      <c r="DI243"/>
    </row>
    <row r="244" s="42" customFormat="1" customHeight="1" spans="1:113">
      <c r="A244" s="48" t="s">
        <v>298</v>
      </c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  <c r="AG244" s="51"/>
      <c r="AH244" s="51"/>
      <c r="AI244" s="51"/>
      <c r="AJ244" s="51"/>
      <c r="AK244" s="51"/>
      <c r="AL244" s="51"/>
      <c r="AM244" s="51"/>
      <c r="AN244" s="51"/>
      <c r="AO244" s="51"/>
      <c r="AP244" s="51"/>
      <c r="AQ244" s="51"/>
      <c r="AR244" s="51"/>
      <c r="AS244" s="51"/>
      <c r="AT244" s="51"/>
      <c r="AU244" s="51"/>
      <c r="AV244" s="51"/>
      <c r="AW244" s="51"/>
      <c r="AX244" s="51"/>
      <c r="AY244" s="51"/>
      <c r="AZ244" s="51"/>
      <c r="BA244" s="51"/>
      <c r="BB244" s="51"/>
      <c r="BC244" s="51"/>
      <c r="BD244" s="51"/>
      <c r="BE244" s="51"/>
      <c r="BF244" s="51"/>
      <c r="BG244" s="51"/>
      <c r="BH244" s="51"/>
      <c r="BI244" s="51"/>
      <c r="BJ244" s="51"/>
      <c r="BK244" s="51"/>
      <c r="BL244" s="51"/>
      <c r="BM244" s="51"/>
      <c r="BN244" s="51"/>
      <c r="BO244" s="51"/>
      <c r="BP244" s="51"/>
      <c r="BQ244" s="51"/>
      <c r="BR244" s="51"/>
      <c r="BS244" s="51"/>
      <c r="BT244" s="51"/>
      <c r="BU244" s="51"/>
      <c r="BV244" s="51"/>
      <c r="BW244" s="51"/>
      <c r="BX244" s="51"/>
      <c r="BY244" s="51"/>
      <c r="BZ244" s="51"/>
      <c r="CA244" s="51"/>
      <c r="CB244" s="51"/>
      <c r="CC244" s="51"/>
      <c r="CD244" s="51"/>
      <c r="CE244" s="51"/>
      <c r="CF244" s="51"/>
      <c r="CG244" s="51"/>
      <c r="CH244" s="51"/>
      <c r="CI244" s="51"/>
      <c r="CJ244" s="51"/>
      <c r="CK244" s="51"/>
      <c r="CL244" s="51"/>
      <c r="CM244" s="51"/>
      <c r="CN244" s="51"/>
      <c r="CO244" s="51"/>
      <c r="CP244" s="51"/>
      <c r="CQ244" s="51"/>
      <c r="CR244" s="51"/>
      <c r="CS244" s="51"/>
      <c r="CT244" s="42" t="str">
        <f>IFERROR(('基本数据输入&amp;测算结果'!$C$19*7-AVERAGE(J244:AK244)*7-'基本数据输入&amp;测算结果'!$C$23*7)/'基本数据输入&amp;测算结果'!$C$21*'基本数据输入&amp;测算结果'!$C$22,"无数据/数据缺失")</f>
        <v>无数据/数据缺失</v>
      </c>
      <c r="CU244" s="42">
        <f>IF(CT244&lt;0,0,IF(CT244="无数据/数据缺失",0%,IF(CT244&gt;'基本数据输入&amp;测算结果'!$C$20,100%,CT244/'基本数据输入&amp;测算结果'!$C$20)))</f>
        <v>0</v>
      </c>
      <c r="CV244" s="42" t="str">
        <f>IFERROR((AVERAGE(AL244:AS244)*2-'基本数据输入&amp;测算结果'!$C$24*2)/'基本数据输入&amp;测算结果'!$C$21/'基本数据输入&amp;测算结果'!$C$22,"无数据/数据缺失")</f>
        <v>无数据/数据缺失</v>
      </c>
      <c r="CW244" s="42">
        <f>IF(CV244&lt;0,0,IF(CV244="无数据/数据缺失",0%,IF(CV244&gt;'基本数据输入&amp;测算结果'!$C$20*CU244,CU244,CV244/'基本数据输入&amp;测算结果'!$C$20*CU244)))</f>
        <v>0</v>
      </c>
      <c r="CX244" s="42" t="str">
        <f>IFERROR(('基本数据输入&amp;测算结果'!$C$19*2-AVERAGE(AT244:BA244)*2-'基本数据输入&amp;测算结果'!$C$23*2)/'基本数据输入&amp;测算结果'!$C$21*'基本数据输入&amp;测算结果'!$C$22,"无数据/数据缺失")</f>
        <v>无数据/数据缺失</v>
      </c>
      <c r="CY244" s="42">
        <f>IF(CX244&lt;0,0,IF(CX244="无数据/数据缺失",0%,IF(CX244&gt;'基本数据输入&amp;测算结果'!$C$20,100%,CX244/'基本数据输入&amp;测算结果'!$C$20)))</f>
        <v>0</v>
      </c>
      <c r="CZ244" s="42" t="str">
        <f>IFERROR((AVERAGE(BN244:CS244)*8-'基本数据输入&amp;测算结果'!$C$24*8)/'基本数据输入&amp;测算结果'!$C$21/'基本数据输入&amp;测算结果'!$C$22,"无数据/数据缺失")</f>
        <v>无数据/数据缺失</v>
      </c>
      <c r="DA244" s="42">
        <f>IF(CZ244&lt;0,0,IF(CZ244="无数据/数据缺失",0,IF('基本数据输入&amp;测算结果'!$C$20*CY244&gt;CZ244,CZ244/'基本数据输入&amp;测算结果'!$C$20*CY244,CY244)))</f>
        <v>0</v>
      </c>
      <c r="DB244" s="49">
        <f t="shared" si="11"/>
        <v>0</v>
      </c>
      <c r="DC244" s="50">
        <f>IF(DA244=0,0,IF(AVERAGE(CD244:CK244)*2&gt;'基本数据输入&amp;测算结果'!$C$20*DA244,100%,AVERAGE(CD244:CK244)*2/('基本数据输入&amp;测算结果'!$C$20*DA244)))</f>
        <v>0</v>
      </c>
      <c r="DD244" s="50"/>
      <c r="DE244" s="53"/>
      <c r="DF244" s="53"/>
      <c r="DG244" s="53"/>
      <c r="DH244" s="53"/>
      <c r="DI244" s="53"/>
    </row>
    <row r="245" customHeight="1" spans="1:113">
      <c r="A245" s="54" t="s">
        <v>299</v>
      </c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51"/>
      <c r="AJ245" s="51"/>
      <c r="AK245" s="51"/>
      <c r="AL245" s="51"/>
      <c r="AM245" s="51"/>
      <c r="AN245" s="51"/>
      <c r="AO245" s="51"/>
      <c r="AP245" s="51"/>
      <c r="AQ245" s="51"/>
      <c r="AR245" s="51"/>
      <c r="AS245" s="51"/>
      <c r="AT245" s="51"/>
      <c r="AU245" s="51"/>
      <c r="AV245" s="51"/>
      <c r="AW245" s="51"/>
      <c r="AX245" s="51"/>
      <c r="AY245" s="51"/>
      <c r="AZ245" s="51"/>
      <c r="BA245" s="51"/>
      <c r="BB245" s="51"/>
      <c r="BC245" s="51"/>
      <c r="BD245" s="51"/>
      <c r="BE245" s="51"/>
      <c r="BF245" s="51"/>
      <c r="BG245" s="51"/>
      <c r="BH245" s="51"/>
      <c r="BI245" s="51"/>
      <c r="BJ245" s="51"/>
      <c r="BK245" s="51"/>
      <c r="BL245" s="51"/>
      <c r="BM245" s="51"/>
      <c r="BN245" s="51"/>
      <c r="BO245" s="51"/>
      <c r="BP245" s="51"/>
      <c r="BQ245" s="51"/>
      <c r="BR245" s="51"/>
      <c r="BS245" s="51"/>
      <c r="BT245" s="51"/>
      <c r="BU245" s="51"/>
      <c r="BV245" s="51"/>
      <c r="BW245" s="51"/>
      <c r="BX245" s="51"/>
      <c r="BY245" s="51"/>
      <c r="BZ245" s="51"/>
      <c r="CA245" s="51"/>
      <c r="CB245" s="51"/>
      <c r="CC245" s="51"/>
      <c r="CD245" s="51"/>
      <c r="CE245" s="51"/>
      <c r="CF245" s="51"/>
      <c r="CG245" s="51"/>
      <c r="CH245" s="51"/>
      <c r="CI245" s="51"/>
      <c r="CJ245" s="51"/>
      <c r="CK245" s="51"/>
      <c r="CL245" s="51"/>
      <c r="CM245" s="51"/>
      <c r="CN245" s="51"/>
      <c r="CO245" s="51"/>
      <c r="CP245" s="51"/>
      <c r="CQ245" s="51"/>
      <c r="CR245" s="51"/>
      <c r="CS245" s="51"/>
      <c r="CT245" s="42" t="str">
        <f>IFERROR(('基本数据输入&amp;测算结果'!$C$19*7-AVERAGE(J245:AK245)*7-'基本数据输入&amp;测算结果'!$C$23*7)/'基本数据输入&amp;测算结果'!$C$21*'基本数据输入&amp;测算结果'!$C$22,"无数据/数据缺失")</f>
        <v>无数据/数据缺失</v>
      </c>
      <c r="CU245" s="42">
        <f>IF(CT245&lt;0,0,IF(CT245="无数据/数据缺失",0%,IF(CT245&gt;'基本数据输入&amp;测算结果'!$C$20,100%,CT245/'基本数据输入&amp;测算结果'!$C$20)))</f>
        <v>0</v>
      </c>
      <c r="CV245" s="42" t="str">
        <f>IFERROR((AVERAGE(AL245:AS245)*2-'基本数据输入&amp;测算结果'!$C$24*2)/'基本数据输入&amp;测算结果'!$C$21/'基本数据输入&amp;测算结果'!$C$22,"无数据/数据缺失")</f>
        <v>无数据/数据缺失</v>
      </c>
      <c r="CW245" s="42">
        <f>IF(CV245&lt;0,0,IF(CV245="无数据/数据缺失",0%,IF(CV245&gt;'基本数据输入&amp;测算结果'!$C$20*CU245,CU245,CV245/'基本数据输入&amp;测算结果'!$C$20*CU245)))</f>
        <v>0</v>
      </c>
      <c r="CX245" s="42" t="str">
        <f>IFERROR(('基本数据输入&amp;测算结果'!$C$19*2-AVERAGE(AT245:BA245)*2-'基本数据输入&amp;测算结果'!$C$23*2)/'基本数据输入&amp;测算结果'!$C$21*'基本数据输入&amp;测算结果'!$C$22,"无数据/数据缺失")</f>
        <v>无数据/数据缺失</v>
      </c>
      <c r="CY245" s="42">
        <f>IF(CX245&lt;0,0,IF(CX245="无数据/数据缺失",0%,IF(CX245&gt;'基本数据输入&amp;测算结果'!$C$20,100%,CX245/'基本数据输入&amp;测算结果'!$C$20)))</f>
        <v>0</v>
      </c>
      <c r="CZ245" s="42" t="str">
        <f>IFERROR((AVERAGE(BN245:CS245)*8-'基本数据输入&amp;测算结果'!$C$24*8)/'基本数据输入&amp;测算结果'!$C$21/'基本数据输入&amp;测算结果'!$C$22,"无数据/数据缺失")</f>
        <v>无数据/数据缺失</v>
      </c>
      <c r="DA245" s="42">
        <f>IF(CZ245&lt;0,0,IF(CZ245="无数据/数据缺失",0,IF('基本数据输入&amp;测算结果'!$C$20*CY245&gt;CZ245,CZ245/'基本数据输入&amp;测算结果'!$C$20*CY245,CY245)))</f>
        <v>0</v>
      </c>
      <c r="DB245" s="49">
        <f t="shared" si="11"/>
        <v>0</v>
      </c>
      <c r="DC245" s="50"/>
      <c r="DD245" s="50"/>
    </row>
    <row r="246" customHeight="1" spans="1:113">
      <c r="A246" s="54" t="s">
        <v>300</v>
      </c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51"/>
      <c r="AJ246" s="51"/>
      <c r="AK246" s="51"/>
      <c r="AL246" s="51"/>
      <c r="AM246" s="51"/>
      <c r="AN246" s="51"/>
      <c r="AO246" s="51"/>
      <c r="AP246" s="51"/>
      <c r="AQ246" s="51"/>
      <c r="AR246" s="51"/>
      <c r="AS246" s="51"/>
      <c r="AT246" s="51"/>
      <c r="AU246" s="51"/>
      <c r="AV246" s="51"/>
      <c r="AW246" s="51"/>
      <c r="AX246" s="51"/>
      <c r="AY246" s="51"/>
      <c r="AZ246" s="51"/>
      <c r="BA246" s="51"/>
      <c r="BB246" s="51"/>
      <c r="BC246" s="51"/>
      <c r="BD246" s="51"/>
      <c r="BE246" s="51"/>
      <c r="BF246" s="51"/>
      <c r="BG246" s="51"/>
      <c r="BH246" s="51"/>
      <c r="BI246" s="51"/>
      <c r="BJ246" s="51"/>
      <c r="BK246" s="51"/>
      <c r="BL246" s="51"/>
      <c r="BM246" s="51"/>
      <c r="BN246" s="51"/>
      <c r="BO246" s="51"/>
      <c r="BP246" s="51"/>
      <c r="BQ246" s="51"/>
      <c r="BR246" s="51"/>
      <c r="BS246" s="51"/>
      <c r="BT246" s="51"/>
      <c r="BU246" s="51"/>
      <c r="BV246" s="51"/>
      <c r="BW246" s="51"/>
      <c r="BX246" s="51"/>
      <c r="BY246" s="51"/>
      <c r="BZ246" s="51"/>
      <c r="CA246" s="51"/>
      <c r="CB246" s="51"/>
      <c r="CC246" s="51"/>
      <c r="CD246" s="51"/>
      <c r="CE246" s="51"/>
      <c r="CF246" s="51"/>
      <c r="CG246" s="51"/>
      <c r="CH246" s="51"/>
      <c r="CI246" s="51"/>
      <c r="CJ246" s="51"/>
      <c r="CK246" s="51"/>
      <c r="CL246" s="51"/>
      <c r="CM246" s="51"/>
      <c r="CN246" s="51"/>
      <c r="CO246" s="51"/>
      <c r="CP246" s="51"/>
      <c r="CQ246" s="51"/>
      <c r="CR246" s="51"/>
      <c r="CS246" s="51"/>
      <c r="CT246" s="42" t="str">
        <f>IFERROR(('基本数据输入&amp;测算结果'!$C$19*7-AVERAGE(J246:AK246)*7-'基本数据输入&amp;测算结果'!$C$23*7)/'基本数据输入&amp;测算结果'!$C$21*'基本数据输入&amp;测算结果'!$C$22,"无数据/数据缺失")</f>
        <v>无数据/数据缺失</v>
      </c>
      <c r="CU246" s="42">
        <f>IF(CT246&lt;0,0,IF(CT246="无数据/数据缺失",0%,IF(CT246&gt;'基本数据输入&amp;测算结果'!$C$20,100%,CT246/'基本数据输入&amp;测算结果'!$C$20)))</f>
        <v>0</v>
      </c>
      <c r="CV246" s="42" t="str">
        <f>IFERROR((AVERAGE(AL246:AS246)*2-'基本数据输入&amp;测算结果'!$C$24*2)/'基本数据输入&amp;测算结果'!$C$21/'基本数据输入&amp;测算结果'!$C$22,"无数据/数据缺失")</f>
        <v>无数据/数据缺失</v>
      </c>
      <c r="CW246" s="42">
        <f>IF(CV246&lt;0,0,IF(CV246="无数据/数据缺失",0%,IF(CV246&gt;'基本数据输入&amp;测算结果'!$C$20*CU246,CU246,CV246/'基本数据输入&amp;测算结果'!$C$20*CU246)))</f>
        <v>0</v>
      </c>
      <c r="CX246" s="42" t="str">
        <f>IFERROR(('基本数据输入&amp;测算结果'!$C$19*2-AVERAGE(AT246:BA246)*2-'基本数据输入&amp;测算结果'!$C$23*2)/'基本数据输入&amp;测算结果'!$C$21*'基本数据输入&amp;测算结果'!$C$22,"无数据/数据缺失")</f>
        <v>无数据/数据缺失</v>
      </c>
      <c r="CY246" s="42">
        <f>IF(CX246&lt;0,0,IF(CX246="无数据/数据缺失",0%,IF(CX246&gt;'基本数据输入&amp;测算结果'!$C$20,100%,CX246/'基本数据输入&amp;测算结果'!$C$20)))</f>
        <v>0</v>
      </c>
      <c r="CZ246" s="42" t="str">
        <f>IFERROR((AVERAGE(BN246:CS246)*8-'基本数据输入&amp;测算结果'!$C$24*8)/'基本数据输入&amp;测算结果'!$C$21/'基本数据输入&amp;测算结果'!$C$22,"无数据/数据缺失")</f>
        <v>无数据/数据缺失</v>
      </c>
      <c r="DA246" s="42">
        <f>IF(CZ246&lt;0,0,IF(CZ246="无数据/数据缺失",0,IF('基本数据输入&amp;测算结果'!$C$20*CY246&gt;CZ246,CZ246/'基本数据输入&amp;测算结果'!$C$20*CY246,CY246)))</f>
        <v>0</v>
      </c>
      <c r="DB246" s="49">
        <f t="shared" si="11"/>
        <v>0</v>
      </c>
      <c r="DC246" s="50"/>
      <c r="DD246" s="50"/>
    </row>
    <row r="247" customHeight="1" spans="1:113">
      <c r="A247" s="54" t="s">
        <v>301</v>
      </c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  <c r="AG247" s="51"/>
      <c r="AH247" s="51"/>
      <c r="AI247" s="51"/>
      <c r="AJ247" s="51"/>
      <c r="AK247" s="51"/>
      <c r="AL247" s="51"/>
      <c r="AM247" s="51"/>
      <c r="AN247" s="51"/>
      <c r="AO247" s="51"/>
      <c r="AP247" s="51"/>
      <c r="AQ247" s="51"/>
      <c r="AR247" s="51"/>
      <c r="AS247" s="51"/>
      <c r="AT247" s="51"/>
      <c r="AU247" s="51"/>
      <c r="AV247" s="51"/>
      <c r="AW247" s="51"/>
      <c r="AX247" s="51"/>
      <c r="AY247" s="51"/>
      <c r="AZ247" s="51"/>
      <c r="BA247" s="51"/>
      <c r="BB247" s="51"/>
      <c r="BC247" s="51"/>
      <c r="BD247" s="51"/>
      <c r="BE247" s="51"/>
      <c r="BF247" s="51"/>
      <c r="BG247" s="51"/>
      <c r="BH247" s="51"/>
      <c r="BI247" s="51"/>
      <c r="BJ247" s="51"/>
      <c r="BK247" s="51"/>
      <c r="BL247" s="51"/>
      <c r="BM247" s="51"/>
      <c r="BN247" s="51"/>
      <c r="BO247" s="51"/>
      <c r="BP247" s="51"/>
      <c r="BQ247" s="51"/>
      <c r="BR247" s="51"/>
      <c r="BS247" s="51"/>
      <c r="BT247" s="51"/>
      <c r="BU247" s="51"/>
      <c r="BV247" s="51"/>
      <c r="BW247" s="51"/>
      <c r="BX247" s="51"/>
      <c r="BY247" s="51"/>
      <c r="BZ247" s="51"/>
      <c r="CA247" s="51"/>
      <c r="CB247" s="51"/>
      <c r="CC247" s="51"/>
      <c r="CD247" s="51"/>
      <c r="CE247" s="51"/>
      <c r="CF247" s="51"/>
      <c r="CG247" s="51"/>
      <c r="CH247" s="51"/>
      <c r="CI247" s="51"/>
      <c r="CJ247" s="51"/>
      <c r="CK247" s="51"/>
      <c r="CL247" s="51"/>
      <c r="CM247" s="51"/>
      <c r="CN247" s="51"/>
      <c r="CO247" s="51"/>
      <c r="CP247" s="51"/>
      <c r="CQ247" s="51"/>
      <c r="CR247" s="51"/>
      <c r="CS247" s="51"/>
      <c r="CT247" s="42" t="str">
        <f>IFERROR(('基本数据输入&amp;测算结果'!$C$19*7-AVERAGE(J247:AK247)*7-'基本数据输入&amp;测算结果'!$C$23*7)/'基本数据输入&amp;测算结果'!$C$21*'基本数据输入&amp;测算结果'!$C$22,"无数据/数据缺失")</f>
        <v>无数据/数据缺失</v>
      </c>
      <c r="CU247" s="42">
        <f>IF(CT247&lt;0,0,IF(CT247="无数据/数据缺失",0%,IF(CT247&gt;'基本数据输入&amp;测算结果'!$C$20,100%,CT247/'基本数据输入&amp;测算结果'!$C$20)))</f>
        <v>0</v>
      </c>
      <c r="CV247" s="42" t="str">
        <f>IFERROR((AVERAGE(AL247:AS247)*2-'基本数据输入&amp;测算结果'!$C$24*2)/'基本数据输入&amp;测算结果'!$C$21/'基本数据输入&amp;测算结果'!$C$22,"无数据/数据缺失")</f>
        <v>无数据/数据缺失</v>
      </c>
      <c r="CW247" s="42">
        <f>IF(CV247&lt;0,0,IF(CV247="无数据/数据缺失",0%,IF(CV247&gt;'基本数据输入&amp;测算结果'!$C$20*CU247,CU247,CV247/'基本数据输入&amp;测算结果'!$C$20*CU247)))</f>
        <v>0</v>
      </c>
      <c r="CX247" s="42" t="str">
        <f>IFERROR(('基本数据输入&amp;测算结果'!$C$19*2-AVERAGE(AT247:BA247)*2-'基本数据输入&amp;测算结果'!$C$23*2)/'基本数据输入&amp;测算结果'!$C$21*'基本数据输入&amp;测算结果'!$C$22,"无数据/数据缺失")</f>
        <v>无数据/数据缺失</v>
      </c>
      <c r="CY247" s="42">
        <f>IF(CX247&lt;0,0,IF(CX247="无数据/数据缺失",0%,IF(CX247&gt;'基本数据输入&amp;测算结果'!$C$20,100%,CX247/'基本数据输入&amp;测算结果'!$C$20)))</f>
        <v>0</v>
      </c>
      <c r="CZ247" s="42" t="str">
        <f>IFERROR((AVERAGE(BN247:CS247)*8-'基本数据输入&amp;测算结果'!$C$24*8)/'基本数据输入&amp;测算结果'!$C$21/'基本数据输入&amp;测算结果'!$C$22,"无数据/数据缺失")</f>
        <v>无数据/数据缺失</v>
      </c>
      <c r="DA247" s="42">
        <f>IF(CZ247&lt;0,0,IF(CZ247="无数据/数据缺失",0,IF('基本数据输入&amp;测算结果'!$C$20*CY247&gt;CZ247,CZ247/'基本数据输入&amp;测算结果'!$C$20*CY247,CY247)))</f>
        <v>0</v>
      </c>
      <c r="DB247" s="49">
        <f t="shared" si="11"/>
        <v>0</v>
      </c>
      <c r="DC247" s="50"/>
      <c r="DD247" s="50"/>
    </row>
    <row r="248" customHeight="1" spans="1:113">
      <c r="A248" s="54" t="s">
        <v>302</v>
      </c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1"/>
      <c r="AM248" s="51"/>
      <c r="AN248" s="51"/>
      <c r="AO248" s="51"/>
      <c r="AP248" s="51"/>
      <c r="AQ248" s="51"/>
      <c r="AR248" s="51"/>
      <c r="AS248" s="51"/>
      <c r="AT248" s="51"/>
      <c r="AU248" s="51"/>
      <c r="AV248" s="51"/>
      <c r="AW248" s="51"/>
      <c r="AX248" s="51"/>
      <c r="AY248" s="51"/>
      <c r="AZ248" s="51"/>
      <c r="BA248" s="51"/>
      <c r="BB248" s="51"/>
      <c r="BC248" s="51"/>
      <c r="BD248" s="51"/>
      <c r="BE248" s="51"/>
      <c r="BF248" s="51"/>
      <c r="BG248" s="51"/>
      <c r="BH248" s="51"/>
      <c r="BI248" s="51"/>
      <c r="BJ248" s="51"/>
      <c r="BK248" s="51"/>
      <c r="BL248" s="51"/>
      <c r="BM248" s="51"/>
      <c r="BN248" s="51"/>
      <c r="BO248" s="51"/>
      <c r="BP248" s="51"/>
      <c r="BQ248" s="51"/>
      <c r="BR248" s="51"/>
      <c r="BS248" s="51"/>
      <c r="BT248" s="51"/>
      <c r="BU248" s="51"/>
      <c r="BV248" s="51"/>
      <c r="BW248" s="51"/>
      <c r="BX248" s="51"/>
      <c r="BY248" s="51"/>
      <c r="BZ248" s="51"/>
      <c r="CA248" s="51"/>
      <c r="CB248" s="51"/>
      <c r="CC248" s="51"/>
      <c r="CD248" s="51"/>
      <c r="CE248" s="51"/>
      <c r="CF248" s="51"/>
      <c r="CG248" s="51"/>
      <c r="CH248" s="51"/>
      <c r="CI248" s="51"/>
      <c r="CJ248" s="51"/>
      <c r="CK248" s="51"/>
      <c r="CL248" s="51"/>
      <c r="CM248" s="51"/>
      <c r="CN248" s="51"/>
      <c r="CO248" s="51"/>
      <c r="CP248" s="51"/>
      <c r="CQ248" s="51"/>
      <c r="CR248" s="51"/>
      <c r="CS248" s="51"/>
      <c r="CT248" s="42" t="str">
        <f>IFERROR(('基本数据输入&amp;测算结果'!$C$19*7-AVERAGE(J248:AK248)*7-'基本数据输入&amp;测算结果'!$C$23*7)/'基本数据输入&amp;测算结果'!$C$21*'基本数据输入&amp;测算结果'!$C$22,"无数据/数据缺失")</f>
        <v>无数据/数据缺失</v>
      </c>
      <c r="CU248" s="42">
        <f>IF(CT248&lt;0,0,IF(CT248="无数据/数据缺失",0%,IF(CT248&gt;'基本数据输入&amp;测算结果'!$C$20,100%,CT248/'基本数据输入&amp;测算结果'!$C$20)))</f>
        <v>0</v>
      </c>
      <c r="CV248" s="42" t="str">
        <f>IFERROR((AVERAGE(AL248:AS248)*2-'基本数据输入&amp;测算结果'!$C$24*2)/'基本数据输入&amp;测算结果'!$C$21/'基本数据输入&amp;测算结果'!$C$22,"无数据/数据缺失")</f>
        <v>无数据/数据缺失</v>
      </c>
      <c r="CW248" s="42">
        <f>IF(CV248&lt;0,0,IF(CV248="无数据/数据缺失",0%,IF(CV248&gt;'基本数据输入&amp;测算结果'!$C$20*CU248,CU248,CV248/'基本数据输入&amp;测算结果'!$C$20*CU248)))</f>
        <v>0</v>
      </c>
      <c r="CX248" s="42" t="str">
        <f>IFERROR(('基本数据输入&amp;测算结果'!$C$19*2-AVERAGE(AT248:BA248)*2-'基本数据输入&amp;测算结果'!$C$23*2)/'基本数据输入&amp;测算结果'!$C$21*'基本数据输入&amp;测算结果'!$C$22,"无数据/数据缺失")</f>
        <v>无数据/数据缺失</v>
      </c>
      <c r="CY248" s="42">
        <f>IF(CX248&lt;0,0,IF(CX248="无数据/数据缺失",0%,IF(CX248&gt;'基本数据输入&amp;测算结果'!$C$20,100%,CX248/'基本数据输入&amp;测算结果'!$C$20)))</f>
        <v>0</v>
      </c>
      <c r="CZ248" s="42" t="str">
        <f>IFERROR((AVERAGE(BN248:CS248)*8-'基本数据输入&amp;测算结果'!$C$24*8)/'基本数据输入&amp;测算结果'!$C$21/'基本数据输入&amp;测算结果'!$C$22,"无数据/数据缺失")</f>
        <v>无数据/数据缺失</v>
      </c>
      <c r="DA248" s="42">
        <f>IF(CZ248&lt;0,0,IF(CZ248="无数据/数据缺失",0,IF('基本数据输入&amp;测算结果'!$C$20*CY248&gt;CZ248,CZ248/'基本数据输入&amp;测算结果'!$C$20*CY248,CY248)))</f>
        <v>0</v>
      </c>
      <c r="DB248" s="49">
        <f t="shared" ref="DB248:DB275" si="12">MIN(CU248,CW248)+MIN(CY248,DA248)</f>
        <v>0</v>
      </c>
      <c r="DC248" s="50"/>
      <c r="DD248" s="50"/>
    </row>
    <row r="249" customHeight="1" spans="1:113">
      <c r="A249" s="54" t="s">
        <v>303</v>
      </c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  <c r="AK249" s="51"/>
      <c r="AL249" s="51"/>
      <c r="AM249" s="51"/>
      <c r="AN249" s="51"/>
      <c r="AO249" s="51"/>
      <c r="AP249" s="51"/>
      <c r="AQ249" s="51"/>
      <c r="AR249" s="51"/>
      <c r="AS249" s="51"/>
      <c r="AT249" s="51"/>
      <c r="AU249" s="51"/>
      <c r="AV249" s="51"/>
      <c r="AW249" s="51"/>
      <c r="AX249" s="51"/>
      <c r="AY249" s="51"/>
      <c r="AZ249" s="51"/>
      <c r="BA249" s="51"/>
      <c r="BB249" s="51"/>
      <c r="BC249" s="51"/>
      <c r="BD249" s="51"/>
      <c r="BE249" s="51"/>
      <c r="BF249" s="51"/>
      <c r="BG249" s="51"/>
      <c r="BH249" s="51"/>
      <c r="BI249" s="51"/>
      <c r="BJ249" s="51"/>
      <c r="BK249" s="51"/>
      <c r="BL249" s="51"/>
      <c r="BM249" s="51"/>
      <c r="BN249" s="51"/>
      <c r="BO249" s="51"/>
      <c r="BP249" s="51"/>
      <c r="BQ249" s="51"/>
      <c r="BR249" s="51"/>
      <c r="BS249" s="51"/>
      <c r="BT249" s="51"/>
      <c r="BU249" s="51"/>
      <c r="BV249" s="51"/>
      <c r="BW249" s="51"/>
      <c r="BX249" s="51"/>
      <c r="BY249" s="51"/>
      <c r="BZ249" s="51"/>
      <c r="CA249" s="51"/>
      <c r="CB249" s="51"/>
      <c r="CC249" s="51"/>
      <c r="CD249" s="51"/>
      <c r="CE249" s="51"/>
      <c r="CF249" s="51"/>
      <c r="CG249" s="51"/>
      <c r="CH249" s="51"/>
      <c r="CI249" s="51"/>
      <c r="CJ249" s="51"/>
      <c r="CK249" s="51"/>
      <c r="CL249" s="51"/>
      <c r="CM249" s="51"/>
      <c r="CN249" s="51"/>
      <c r="CO249" s="51"/>
      <c r="CP249" s="51"/>
      <c r="CQ249" s="51"/>
      <c r="CR249" s="51"/>
      <c r="CS249" s="51"/>
      <c r="CT249" s="42" t="str">
        <f>IFERROR(('基本数据输入&amp;测算结果'!$C$19*7-AVERAGE(J249:AK249)*7-'基本数据输入&amp;测算结果'!$C$23*7)/'基本数据输入&amp;测算结果'!$C$21*'基本数据输入&amp;测算结果'!$C$22,"无数据/数据缺失")</f>
        <v>无数据/数据缺失</v>
      </c>
      <c r="CU249" s="42">
        <f>IF(CT249&lt;0,0,IF(CT249="无数据/数据缺失",0%,IF(CT249&gt;'基本数据输入&amp;测算结果'!$C$20,100%,CT249/'基本数据输入&amp;测算结果'!$C$20)))</f>
        <v>0</v>
      </c>
      <c r="CV249" s="42" t="str">
        <f>IFERROR((AVERAGE(AL249:AS249)*2-'基本数据输入&amp;测算结果'!$C$24*2)/'基本数据输入&amp;测算结果'!$C$21/'基本数据输入&amp;测算结果'!$C$22,"无数据/数据缺失")</f>
        <v>无数据/数据缺失</v>
      </c>
      <c r="CW249" s="42">
        <f>IF(CV249&lt;0,0,IF(CV249="无数据/数据缺失",0%,IF(CV249&gt;'基本数据输入&amp;测算结果'!$C$20*CU249,CU249,CV249/'基本数据输入&amp;测算结果'!$C$20*CU249)))</f>
        <v>0</v>
      </c>
      <c r="CX249" s="42" t="str">
        <f>IFERROR(('基本数据输入&amp;测算结果'!$C$19*2-AVERAGE(AT249:BA249)*2-'基本数据输入&amp;测算结果'!$C$23*2)/'基本数据输入&amp;测算结果'!$C$21*'基本数据输入&amp;测算结果'!$C$22,"无数据/数据缺失")</f>
        <v>无数据/数据缺失</v>
      </c>
      <c r="CY249" s="42">
        <f>IF(CX249&lt;0,0,IF(CX249="无数据/数据缺失",0%,IF(CX249&gt;'基本数据输入&amp;测算结果'!$C$20,100%,CX249/'基本数据输入&amp;测算结果'!$C$20)))</f>
        <v>0</v>
      </c>
      <c r="CZ249" s="42" t="str">
        <f>IFERROR((AVERAGE(BN249:CS249)*8-'基本数据输入&amp;测算结果'!$C$24*8)/'基本数据输入&amp;测算结果'!$C$21/'基本数据输入&amp;测算结果'!$C$22,"无数据/数据缺失")</f>
        <v>无数据/数据缺失</v>
      </c>
      <c r="DA249" s="42">
        <f>IF(CZ249&lt;0,0,IF(CZ249="无数据/数据缺失",0,IF('基本数据输入&amp;测算结果'!$C$20*CY249&gt;CZ249,CZ249/'基本数据输入&amp;测算结果'!$C$20*CY249,CY249)))</f>
        <v>0</v>
      </c>
      <c r="DB249" s="49">
        <f t="shared" si="12"/>
        <v>0</v>
      </c>
      <c r="DC249" s="50"/>
      <c r="DD249" s="50"/>
    </row>
    <row r="250" customHeight="1" spans="1:113">
      <c r="A250" s="54" t="s">
        <v>304</v>
      </c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1"/>
      <c r="AN250" s="51"/>
      <c r="AO250" s="51"/>
      <c r="AP250" s="51"/>
      <c r="AQ250" s="51"/>
      <c r="AR250" s="51"/>
      <c r="AS250" s="51"/>
      <c r="AT250" s="51"/>
      <c r="AU250" s="51"/>
      <c r="AV250" s="51"/>
      <c r="AW250" s="51"/>
      <c r="AX250" s="51"/>
      <c r="AY250" s="51"/>
      <c r="AZ250" s="51"/>
      <c r="BA250" s="51"/>
      <c r="BB250" s="51"/>
      <c r="BC250" s="51"/>
      <c r="BD250" s="51"/>
      <c r="BE250" s="51"/>
      <c r="BF250" s="51"/>
      <c r="BG250" s="51"/>
      <c r="BH250" s="51"/>
      <c r="BI250" s="51"/>
      <c r="BJ250" s="51"/>
      <c r="BK250" s="51"/>
      <c r="BL250" s="51"/>
      <c r="BM250" s="51"/>
      <c r="BN250" s="51"/>
      <c r="BO250" s="51"/>
      <c r="BP250" s="51"/>
      <c r="BQ250" s="51"/>
      <c r="BR250" s="51"/>
      <c r="BS250" s="51"/>
      <c r="BT250" s="51"/>
      <c r="BU250" s="51"/>
      <c r="BV250" s="51"/>
      <c r="BW250" s="51"/>
      <c r="BX250" s="51"/>
      <c r="BY250" s="51"/>
      <c r="BZ250" s="51"/>
      <c r="CA250" s="51"/>
      <c r="CB250" s="51"/>
      <c r="CC250" s="51"/>
      <c r="CD250" s="51"/>
      <c r="CE250" s="51"/>
      <c r="CF250" s="51"/>
      <c r="CG250" s="51"/>
      <c r="CH250" s="51"/>
      <c r="CI250" s="51"/>
      <c r="CJ250" s="51"/>
      <c r="CK250" s="51"/>
      <c r="CL250" s="51"/>
      <c r="CM250" s="51"/>
      <c r="CN250" s="51"/>
      <c r="CO250" s="51"/>
      <c r="CP250" s="51"/>
      <c r="CQ250" s="51"/>
      <c r="CR250" s="51"/>
      <c r="CS250" s="51"/>
      <c r="CT250" s="42" t="str">
        <f>IFERROR(('基本数据输入&amp;测算结果'!$C$19*7-AVERAGE(J250:AK250)*7-'基本数据输入&amp;测算结果'!$C$23*7)/'基本数据输入&amp;测算结果'!$C$21*'基本数据输入&amp;测算结果'!$C$22,"无数据/数据缺失")</f>
        <v>无数据/数据缺失</v>
      </c>
      <c r="CU250" s="42">
        <f>IF(CT250&lt;0,0,IF(CT250="无数据/数据缺失",0%,IF(CT250&gt;'基本数据输入&amp;测算结果'!$C$20,100%,CT250/'基本数据输入&amp;测算结果'!$C$20)))</f>
        <v>0</v>
      </c>
      <c r="CV250" s="42" t="str">
        <f>IFERROR((AVERAGE(AL250:AS250)*2-'基本数据输入&amp;测算结果'!$C$24*2)/'基本数据输入&amp;测算结果'!$C$21/'基本数据输入&amp;测算结果'!$C$22,"无数据/数据缺失")</f>
        <v>无数据/数据缺失</v>
      </c>
      <c r="CW250" s="42">
        <f>IF(CV250&lt;0,0,IF(CV250="无数据/数据缺失",0%,IF(CV250&gt;'基本数据输入&amp;测算结果'!$C$20*CU250,CU250,CV250/'基本数据输入&amp;测算结果'!$C$20*CU250)))</f>
        <v>0</v>
      </c>
      <c r="CX250" s="42" t="str">
        <f>IFERROR(('基本数据输入&amp;测算结果'!$C$19*2-AVERAGE(AT250:BA250)*2-'基本数据输入&amp;测算结果'!$C$23*2)/'基本数据输入&amp;测算结果'!$C$21*'基本数据输入&amp;测算结果'!$C$22,"无数据/数据缺失")</f>
        <v>无数据/数据缺失</v>
      </c>
      <c r="CY250" s="42">
        <f>IF(CX250&lt;0,0,IF(CX250="无数据/数据缺失",0%,IF(CX250&gt;'基本数据输入&amp;测算结果'!$C$20,100%,CX250/'基本数据输入&amp;测算结果'!$C$20)))</f>
        <v>0</v>
      </c>
      <c r="CZ250" s="42" t="str">
        <f>IFERROR((AVERAGE(BN250:CS250)*8-'基本数据输入&amp;测算结果'!$C$24*8)/'基本数据输入&amp;测算结果'!$C$21/'基本数据输入&amp;测算结果'!$C$22,"无数据/数据缺失")</f>
        <v>无数据/数据缺失</v>
      </c>
      <c r="DA250" s="42">
        <f>IF(CZ250&lt;0,0,IF(CZ250="无数据/数据缺失",0,IF('基本数据输入&amp;测算结果'!$C$20*CY250&gt;CZ250,CZ250/'基本数据输入&amp;测算结果'!$C$20*CY250,CY250)))</f>
        <v>0</v>
      </c>
      <c r="DB250" s="49">
        <f t="shared" si="12"/>
        <v>0</v>
      </c>
      <c r="DC250" s="50"/>
      <c r="DD250" s="50"/>
    </row>
    <row r="251" customHeight="1" spans="1:113">
      <c r="A251" s="54" t="s">
        <v>305</v>
      </c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  <c r="AG251" s="51"/>
      <c r="AH251" s="51"/>
      <c r="AI251" s="51"/>
      <c r="AJ251" s="51"/>
      <c r="AK251" s="51"/>
      <c r="AL251" s="51"/>
      <c r="AM251" s="51"/>
      <c r="AN251" s="51"/>
      <c r="AO251" s="51"/>
      <c r="AP251" s="51"/>
      <c r="AQ251" s="51"/>
      <c r="AR251" s="51"/>
      <c r="AS251" s="51"/>
      <c r="AT251" s="51"/>
      <c r="AU251" s="51"/>
      <c r="AV251" s="51"/>
      <c r="AW251" s="51"/>
      <c r="AX251" s="51"/>
      <c r="AY251" s="51"/>
      <c r="AZ251" s="51"/>
      <c r="BA251" s="51"/>
      <c r="BB251" s="51"/>
      <c r="BC251" s="51"/>
      <c r="BD251" s="51"/>
      <c r="BE251" s="51"/>
      <c r="BF251" s="51"/>
      <c r="BG251" s="51"/>
      <c r="BH251" s="51"/>
      <c r="BI251" s="51"/>
      <c r="BJ251" s="51"/>
      <c r="BK251" s="51"/>
      <c r="BL251" s="51"/>
      <c r="BM251" s="51"/>
      <c r="BN251" s="51"/>
      <c r="BO251" s="51"/>
      <c r="BP251" s="51"/>
      <c r="BQ251" s="51"/>
      <c r="BR251" s="51"/>
      <c r="BS251" s="51"/>
      <c r="BT251" s="51"/>
      <c r="BU251" s="51"/>
      <c r="BV251" s="51"/>
      <c r="BW251" s="51"/>
      <c r="BX251" s="51"/>
      <c r="BY251" s="51"/>
      <c r="BZ251" s="51"/>
      <c r="CA251" s="51"/>
      <c r="CB251" s="51"/>
      <c r="CC251" s="51"/>
      <c r="CD251" s="51"/>
      <c r="CE251" s="51"/>
      <c r="CF251" s="51"/>
      <c r="CG251" s="51"/>
      <c r="CH251" s="51"/>
      <c r="CI251" s="51"/>
      <c r="CJ251" s="51"/>
      <c r="CK251" s="51"/>
      <c r="CL251" s="51"/>
      <c r="CM251" s="51"/>
      <c r="CN251" s="51"/>
      <c r="CO251" s="51"/>
      <c r="CP251" s="51"/>
      <c r="CQ251" s="51"/>
      <c r="CR251" s="51"/>
      <c r="CS251" s="51"/>
      <c r="CT251" s="42" t="str">
        <f>IFERROR(('基本数据输入&amp;测算结果'!$C$19*7-AVERAGE(J251:AK251)*7-'基本数据输入&amp;测算结果'!$C$23*7)/'基本数据输入&amp;测算结果'!$C$21*'基本数据输入&amp;测算结果'!$C$22,"无数据/数据缺失")</f>
        <v>无数据/数据缺失</v>
      </c>
      <c r="CU251" s="42">
        <f>IF(CT251&lt;0,0,IF(CT251="无数据/数据缺失",0%,IF(CT251&gt;'基本数据输入&amp;测算结果'!$C$20,100%,CT251/'基本数据输入&amp;测算结果'!$C$20)))</f>
        <v>0</v>
      </c>
      <c r="CV251" s="42" t="str">
        <f>IFERROR((AVERAGE(AL251:AS251)*2-'基本数据输入&amp;测算结果'!$C$24*2)/'基本数据输入&amp;测算结果'!$C$21/'基本数据输入&amp;测算结果'!$C$22,"无数据/数据缺失")</f>
        <v>无数据/数据缺失</v>
      </c>
      <c r="CW251" s="42">
        <f>IF(CV251&lt;0,0,IF(CV251="无数据/数据缺失",0%,IF(CV251&gt;'基本数据输入&amp;测算结果'!$C$20*CU251,CU251,CV251/'基本数据输入&amp;测算结果'!$C$20*CU251)))</f>
        <v>0</v>
      </c>
      <c r="CX251" s="42" t="str">
        <f>IFERROR(('基本数据输入&amp;测算结果'!$C$19*2-AVERAGE(AT251:BA251)*2-'基本数据输入&amp;测算结果'!$C$23*2)/'基本数据输入&amp;测算结果'!$C$21*'基本数据输入&amp;测算结果'!$C$22,"无数据/数据缺失")</f>
        <v>无数据/数据缺失</v>
      </c>
      <c r="CY251" s="42">
        <f>IF(CX251&lt;0,0,IF(CX251="无数据/数据缺失",0%,IF(CX251&gt;'基本数据输入&amp;测算结果'!$C$20,100%,CX251/'基本数据输入&amp;测算结果'!$C$20)))</f>
        <v>0</v>
      </c>
      <c r="CZ251" s="42" t="str">
        <f>IFERROR((AVERAGE(BN251:CS251)*8-'基本数据输入&amp;测算结果'!$C$24*8)/'基本数据输入&amp;测算结果'!$C$21/'基本数据输入&amp;测算结果'!$C$22,"无数据/数据缺失")</f>
        <v>无数据/数据缺失</v>
      </c>
      <c r="DA251" s="42">
        <f>IF(CZ251&lt;0,0,IF(CZ251="无数据/数据缺失",0,IF('基本数据输入&amp;测算结果'!$C$20*CY251&gt;CZ251,CZ251/'基本数据输入&amp;测算结果'!$C$20*CY251,CY251)))</f>
        <v>0</v>
      </c>
      <c r="DB251" s="49">
        <f t="shared" si="12"/>
        <v>0</v>
      </c>
      <c r="DC251" s="50"/>
      <c r="DD251" s="50"/>
    </row>
    <row r="252" customHeight="1" spans="1:113">
      <c r="A252" s="54" t="s">
        <v>306</v>
      </c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  <c r="AG252" s="51"/>
      <c r="AH252" s="51"/>
      <c r="AI252" s="51"/>
      <c r="AJ252" s="51"/>
      <c r="AK252" s="51"/>
      <c r="AL252" s="51"/>
      <c r="AM252" s="51"/>
      <c r="AN252" s="51"/>
      <c r="AO252" s="51"/>
      <c r="AP252" s="51"/>
      <c r="AQ252" s="51"/>
      <c r="AR252" s="51"/>
      <c r="AS252" s="51"/>
      <c r="AT252" s="51"/>
      <c r="AU252" s="51"/>
      <c r="AV252" s="51"/>
      <c r="AW252" s="51"/>
      <c r="AX252" s="51"/>
      <c r="AY252" s="51"/>
      <c r="AZ252" s="51"/>
      <c r="BA252" s="51"/>
      <c r="BB252" s="51"/>
      <c r="BC252" s="51"/>
      <c r="BD252" s="51"/>
      <c r="BE252" s="51"/>
      <c r="BF252" s="51"/>
      <c r="BG252" s="51"/>
      <c r="BH252" s="51"/>
      <c r="BI252" s="51"/>
      <c r="BJ252" s="51"/>
      <c r="BK252" s="51"/>
      <c r="BL252" s="51"/>
      <c r="BM252" s="51"/>
      <c r="BN252" s="51"/>
      <c r="BO252" s="51"/>
      <c r="BP252" s="51"/>
      <c r="BQ252" s="51"/>
      <c r="BR252" s="51"/>
      <c r="BS252" s="51"/>
      <c r="BT252" s="51"/>
      <c r="BU252" s="51"/>
      <c r="BV252" s="51"/>
      <c r="BW252" s="51"/>
      <c r="BX252" s="51"/>
      <c r="BY252" s="51"/>
      <c r="BZ252" s="51"/>
      <c r="CA252" s="51"/>
      <c r="CB252" s="51"/>
      <c r="CC252" s="51"/>
      <c r="CD252" s="51"/>
      <c r="CE252" s="51"/>
      <c r="CF252" s="51"/>
      <c r="CG252" s="51"/>
      <c r="CH252" s="51"/>
      <c r="CI252" s="51"/>
      <c r="CJ252" s="51"/>
      <c r="CK252" s="51"/>
      <c r="CL252" s="51"/>
      <c r="CM252" s="51"/>
      <c r="CN252" s="51"/>
      <c r="CO252" s="51"/>
      <c r="CP252" s="51"/>
      <c r="CQ252" s="51"/>
      <c r="CR252" s="51"/>
      <c r="CS252" s="51"/>
      <c r="CT252" s="42" t="str">
        <f>IFERROR(('基本数据输入&amp;测算结果'!$C$19*7-AVERAGE(J252:AK252)*7-'基本数据输入&amp;测算结果'!$C$23*7)/'基本数据输入&amp;测算结果'!$C$21*'基本数据输入&amp;测算结果'!$C$22,"无数据/数据缺失")</f>
        <v>无数据/数据缺失</v>
      </c>
      <c r="CU252" s="42">
        <f>IF(CT252&lt;0,0,IF(CT252="无数据/数据缺失",0%,IF(CT252&gt;'基本数据输入&amp;测算结果'!$C$20,100%,CT252/'基本数据输入&amp;测算结果'!$C$20)))</f>
        <v>0</v>
      </c>
      <c r="CV252" s="42" t="str">
        <f>IFERROR((AVERAGE(AL252:AS252)*2-'基本数据输入&amp;测算结果'!$C$24*2)/'基本数据输入&amp;测算结果'!$C$21/'基本数据输入&amp;测算结果'!$C$22,"无数据/数据缺失")</f>
        <v>无数据/数据缺失</v>
      </c>
      <c r="CW252" s="42">
        <f>IF(CV252&lt;0,0,IF(CV252="无数据/数据缺失",0%,IF(CV252&gt;'基本数据输入&amp;测算结果'!$C$20*CU252,CU252,CV252/'基本数据输入&amp;测算结果'!$C$20*CU252)))</f>
        <v>0</v>
      </c>
      <c r="CX252" s="42" t="str">
        <f>IFERROR(('基本数据输入&amp;测算结果'!$C$19*2-AVERAGE(AT252:BA252)*2-'基本数据输入&amp;测算结果'!$C$23*2)/'基本数据输入&amp;测算结果'!$C$21*'基本数据输入&amp;测算结果'!$C$22,"无数据/数据缺失")</f>
        <v>无数据/数据缺失</v>
      </c>
      <c r="CY252" s="42">
        <f>IF(CX252&lt;0,0,IF(CX252="无数据/数据缺失",0%,IF(CX252&gt;'基本数据输入&amp;测算结果'!$C$20,100%,CX252/'基本数据输入&amp;测算结果'!$C$20)))</f>
        <v>0</v>
      </c>
      <c r="CZ252" s="42" t="str">
        <f>IFERROR((AVERAGE(BN252:CS252)*8-'基本数据输入&amp;测算结果'!$C$24*8)/'基本数据输入&amp;测算结果'!$C$21/'基本数据输入&amp;测算结果'!$C$22,"无数据/数据缺失")</f>
        <v>无数据/数据缺失</v>
      </c>
      <c r="DA252" s="42">
        <f>IF(CZ252&lt;0,0,IF(CZ252="无数据/数据缺失",0,IF('基本数据输入&amp;测算结果'!$C$20*CY252&gt;CZ252,CZ252/'基本数据输入&amp;测算结果'!$C$20*CY252,CY252)))</f>
        <v>0</v>
      </c>
      <c r="DB252" s="49">
        <f t="shared" si="12"/>
        <v>0</v>
      </c>
      <c r="DC252" s="50"/>
      <c r="DD252" s="50"/>
    </row>
    <row r="253" customHeight="1" spans="1:113">
      <c r="A253" s="54" t="s">
        <v>307</v>
      </c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  <c r="AG253" s="51"/>
      <c r="AH253" s="51"/>
      <c r="AI253" s="51"/>
      <c r="AJ253" s="51"/>
      <c r="AK253" s="51"/>
      <c r="AL253" s="51"/>
      <c r="AM253" s="51"/>
      <c r="AN253" s="51"/>
      <c r="AO253" s="51"/>
      <c r="AP253" s="51"/>
      <c r="AQ253" s="51"/>
      <c r="AR253" s="51"/>
      <c r="AS253" s="51"/>
      <c r="AT253" s="51"/>
      <c r="AU253" s="51"/>
      <c r="AV253" s="51"/>
      <c r="AW253" s="51"/>
      <c r="AX253" s="51"/>
      <c r="AY253" s="51"/>
      <c r="AZ253" s="51"/>
      <c r="BA253" s="51"/>
      <c r="BB253" s="51"/>
      <c r="BC253" s="51"/>
      <c r="BD253" s="51"/>
      <c r="BE253" s="51"/>
      <c r="BF253" s="51"/>
      <c r="BG253" s="51"/>
      <c r="BH253" s="51"/>
      <c r="BI253" s="51"/>
      <c r="BJ253" s="51"/>
      <c r="BK253" s="51"/>
      <c r="BL253" s="51"/>
      <c r="BM253" s="51"/>
      <c r="BN253" s="51"/>
      <c r="BO253" s="51"/>
      <c r="BP253" s="51"/>
      <c r="BQ253" s="51"/>
      <c r="BR253" s="51"/>
      <c r="BS253" s="51"/>
      <c r="BT253" s="51"/>
      <c r="BU253" s="51"/>
      <c r="BV253" s="51"/>
      <c r="BW253" s="51"/>
      <c r="BX253" s="51"/>
      <c r="BY253" s="51"/>
      <c r="BZ253" s="51"/>
      <c r="CA253" s="51"/>
      <c r="CB253" s="51"/>
      <c r="CC253" s="51"/>
      <c r="CD253" s="51"/>
      <c r="CE253" s="51"/>
      <c r="CF253" s="51"/>
      <c r="CG253" s="51"/>
      <c r="CH253" s="51"/>
      <c r="CI253" s="51"/>
      <c r="CJ253" s="51"/>
      <c r="CK253" s="51"/>
      <c r="CL253" s="51"/>
      <c r="CM253" s="51"/>
      <c r="CN253" s="51"/>
      <c r="CO253" s="51"/>
      <c r="CP253" s="51"/>
      <c r="CQ253" s="51"/>
      <c r="CR253" s="51"/>
      <c r="CS253" s="51"/>
      <c r="CT253" s="42" t="str">
        <f>IFERROR(('基本数据输入&amp;测算结果'!$C$19*7-AVERAGE(J253:AK253)*7-'基本数据输入&amp;测算结果'!$C$23*7)/'基本数据输入&amp;测算结果'!$C$21*'基本数据输入&amp;测算结果'!$C$22,"无数据/数据缺失")</f>
        <v>无数据/数据缺失</v>
      </c>
      <c r="CU253" s="42">
        <f>IF(CT253&lt;0,0,IF(CT253="无数据/数据缺失",0%,IF(CT253&gt;'基本数据输入&amp;测算结果'!$C$20,100%,CT253/'基本数据输入&amp;测算结果'!$C$20)))</f>
        <v>0</v>
      </c>
      <c r="CV253" s="42" t="str">
        <f>IFERROR((AVERAGE(AL253:AS253)*2-'基本数据输入&amp;测算结果'!$C$24*2)/'基本数据输入&amp;测算结果'!$C$21/'基本数据输入&amp;测算结果'!$C$22,"无数据/数据缺失")</f>
        <v>无数据/数据缺失</v>
      </c>
      <c r="CW253" s="42">
        <f>IF(CV253&lt;0,0,IF(CV253="无数据/数据缺失",0%,IF(CV253&gt;'基本数据输入&amp;测算结果'!$C$20*CU253,CU253,CV253/'基本数据输入&amp;测算结果'!$C$20*CU253)))</f>
        <v>0</v>
      </c>
      <c r="CX253" s="42" t="str">
        <f>IFERROR(('基本数据输入&amp;测算结果'!$C$19*2-AVERAGE(AT253:BA253)*2-'基本数据输入&amp;测算结果'!$C$23*2)/'基本数据输入&amp;测算结果'!$C$21*'基本数据输入&amp;测算结果'!$C$22,"无数据/数据缺失")</f>
        <v>无数据/数据缺失</v>
      </c>
      <c r="CY253" s="42">
        <f>IF(CX253&lt;0,0,IF(CX253="无数据/数据缺失",0%,IF(CX253&gt;'基本数据输入&amp;测算结果'!$C$20,100%,CX253/'基本数据输入&amp;测算结果'!$C$20)))</f>
        <v>0</v>
      </c>
      <c r="CZ253" s="42" t="str">
        <f>IFERROR((AVERAGE(BN253:CS253)*8-'基本数据输入&amp;测算结果'!$C$24*8)/'基本数据输入&amp;测算结果'!$C$21/'基本数据输入&amp;测算结果'!$C$22,"无数据/数据缺失")</f>
        <v>无数据/数据缺失</v>
      </c>
      <c r="DA253" s="42">
        <f>IF(CZ253&lt;0,0,IF(CZ253="无数据/数据缺失",0,IF('基本数据输入&amp;测算结果'!$C$20*CY253&gt;CZ253,CZ253/'基本数据输入&amp;测算结果'!$C$20*CY253,CY253)))</f>
        <v>0</v>
      </c>
      <c r="DB253" s="49">
        <f t="shared" si="12"/>
        <v>0</v>
      </c>
      <c r="DC253" s="50"/>
      <c r="DD253" s="50"/>
    </row>
    <row r="254" customHeight="1" spans="1:113">
      <c r="A254" s="54" t="s">
        <v>308</v>
      </c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1"/>
      <c r="AI254" s="51"/>
      <c r="AJ254" s="51"/>
      <c r="AK254" s="51"/>
      <c r="AL254" s="51"/>
      <c r="AM254" s="51"/>
      <c r="AN254" s="51"/>
      <c r="AO254" s="51"/>
      <c r="AP254" s="51"/>
      <c r="AQ254" s="51"/>
      <c r="AR254" s="51"/>
      <c r="AS254" s="51"/>
      <c r="AT254" s="51"/>
      <c r="AU254" s="51"/>
      <c r="AV254" s="51"/>
      <c r="AW254" s="51"/>
      <c r="AX254" s="51"/>
      <c r="AY254" s="51"/>
      <c r="AZ254" s="51"/>
      <c r="BA254" s="51"/>
      <c r="BB254" s="51"/>
      <c r="BC254" s="51"/>
      <c r="BD254" s="51"/>
      <c r="BE254" s="51"/>
      <c r="BF254" s="51"/>
      <c r="BG254" s="51"/>
      <c r="BH254" s="51"/>
      <c r="BI254" s="51"/>
      <c r="BJ254" s="51"/>
      <c r="BK254" s="51"/>
      <c r="BL254" s="51"/>
      <c r="BM254" s="51"/>
      <c r="BN254" s="51"/>
      <c r="BO254" s="51"/>
      <c r="BP254" s="51"/>
      <c r="BQ254" s="51"/>
      <c r="BR254" s="51"/>
      <c r="BS254" s="51"/>
      <c r="BT254" s="51"/>
      <c r="BU254" s="51"/>
      <c r="BV254" s="51"/>
      <c r="BW254" s="51"/>
      <c r="BX254" s="51"/>
      <c r="BY254" s="51"/>
      <c r="BZ254" s="51"/>
      <c r="CA254" s="51"/>
      <c r="CB254" s="51"/>
      <c r="CC254" s="51"/>
      <c r="CD254" s="51"/>
      <c r="CE254" s="51"/>
      <c r="CF254" s="51"/>
      <c r="CG254" s="51"/>
      <c r="CH254" s="51"/>
      <c r="CI254" s="51"/>
      <c r="CJ254" s="51"/>
      <c r="CK254" s="51"/>
      <c r="CL254" s="51"/>
      <c r="CM254" s="51"/>
      <c r="CN254" s="51"/>
      <c r="CO254" s="51"/>
      <c r="CP254" s="51"/>
      <c r="CQ254" s="51"/>
      <c r="CR254" s="51"/>
      <c r="CS254" s="51"/>
      <c r="CT254" s="42" t="str">
        <f>IFERROR(('基本数据输入&amp;测算结果'!$C$19*7-AVERAGE(J254:AK254)*7-'基本数据输入&amp;测算结果'!$C$23*7)/'基本数据输入&amp;测算结果'!$C$21*'基本数据输入&amp;测算结果'!$C$22,"无数据/数据缺失")</f>
        <v>无数据/数据缺失</v>
      </c>
      <c r="CU254" s="42">
        <f>IF(CT254&lt;0,0,IF(CT254="无数据/数据缺失",0%,IF(CT254&gt;'基本数据输入&amp;测算结果'!$C$20,100%,CT254/'基本数据输入&amp;测算结果'!$C$20)))</f>
        <v>0</v>
      </c>
      <c r="CV254" s="42" t="str">
        <f>IFERROR((AVERAGE(AL254:AS254)*2-'基本数据输入&amp;测算结果'!$C$24*2)/'基本数据输入&amp;测算结果'!$C$21/'基本数据输入&amp;测算结果'!$C$22,"无数据/数据缺失")</f>
        <v>无数据/数据缺失</v>
      </c>
      <c r="CW254" s="42">
        <f>IF(CV254&lt;0,0,IF(CV254="无数据/数据缺失",0%,IF(CV254&gt;'基本数据输入&amp;测算结果'!$C$20*CU254,CU254,CV254/'基本数据输入&amp;测算结果'!$C$20*CU254)))</f>
        <v>0</v>
      </c>
      <c r="CX254" s="42" t="str">
        <f>IFERROR(('基本数据输入&amp;测算结果'!$C$19*2-AVERAGE(AT254:BA254)*2-'基本数据输入&amp;测算结果'!$C$23*2)/'基本数据输入&amp;测算结果'!$C$21*'基本数据输入&amp;测算结果'!$C$22,"无数据/数据缺失")</f>
        <v>无数据/数据缺失</v>
      </c>
      <c r="CY254" s="42">
        <f>IF(CX254&lt;0,0,IF(CX254="无数据/数据缺失",0%,IF(CX254&gt;'基本数据输入&amp;测算结果'!$C$20,100%,CX254/'基本数据输入&amp;测算结果'!$C$20)))</f>
        <v>0</v>
      </c>
      <c r="CZ254" s="42" t="str">
        <f>IFERROR((AVERAGE(BN254:CS254)*8-'基本数据输入&amp;测算结果'!$C$24*8)/'基本数据输入&amp;测算结果'!$C$21/'基本数据输入&amp;测算结果'!$C$22,"无数据/数据缺失")</f>
        <v>无数据/数据缺失</v>
      </c>
      <c r="DA254" s="42">
        <f>IF(CZ254&lt;0,0,IF(CZ254="无数据/数据缺失",0,IF('基本数据输入&amp;测算结果'!$C$20*CY254&gt;CZ254,CZ254/'基本数据输入&amp;测算结果'!$C$20*CY254,CY254)))</f>
        <v>0</v>
      </c>
      <c r="DB254" s="49">
        <f t="shared" si="12"/>
        <v>0</v>
      </c>
      <c r="DC254" s="50"/>
      <c r="DD254" s="50"/>
    </row>
    <row r="255" customHeight="1" spans="1:113">
      <c r="A255" s="54" t="s">
        <v>309</v>
      </c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  <c r="AG255" s="51"/>
      <c r="AH255" s="51"/>
      <c r="AI255" s="51"/>
      <c r="AJ255" s="51"/>
      <c r="AK255" s="51"/>
      <c r="AL255" s="51"/>
      <c r="AM255" s="51"/>
      <c r="AN255" s="51"/>
      <c r="AO255" s="51"/>
      <c r="AP255" s="51"/>
      <c r="AQ255" s="51"/>
      <c r="AR255" s="51"/>
      <c r="AS255" s="51"/>
      <c r="AT255" s="51"/>
      <c r="AU255" s="51"/>
      <c r="AV255" s="51"/>
      <c r="AW255" s="51"/>
      <c r="AX255" s="51"/>
      <c r="AY255" s="51"/>
      <c r="AZ255" s="51"/>
      <c r="BA255" s="51"/>
      <c r="BB255" s="51"/>
      <c r="BC255" s="51"/>
      <c r="BD255" s="51"/>
      <c r="BE255" s="51"/>
      <c r="BF255" s="51"/>
      <c r="BG255" s="51"/>
      <c r="BH255" s="51"/>
      <c r="BI255" s="51"/>
      <c r="BJ255" s="51"/>
      <c r="BK255" s="51"/>
      <c r="BL255" s="51"/>
      <c r="BM255" s="51"/>
      <c r="BN255" s="51"/>
      <c r="BO255" s="51"/>
      <c r="BP255" s="51"/>
      <c r="BQ255" s="51"/>
      <c r="BR255" s="51"/>
      <c r="BS255" s="51"/>
      <c r="BT255" s="51"/>
      <c r="BU255" s="51"/>
      <c r="BV255" s="51"/>
      <c r="BW255" s="51"/>
      <c r="BX255" s="51"/>
      <c r="BY255" s="51"/>
      <c r="BZ255" s="51"/>
      <c r="CA255" s="51"/>
      <c r="CB255" s="51"/>
      <c r="CC255" s="51"/>
      <c r="CD255" s="51"/>
      <c r="CE255" s="51"/>
      <c r="CF255" s="51"/>
      <c r="CG255" s="51"/>
      <c r="CH255" s="51"/>
      <c r="CI255" s="51"/>
      <c r="CJ255" s="51"/>
      <c r="CK255" s="51"/>
      <c r="CL255" s="51"/>
      <c r="CM255" s="51"/>
      <c r="CN255" s="51"/>
      <c r="CO255" s="51"/>
      <c r="CP255" s="51"/>
      <c r="CQ255" s="51"/>
      <c r="CR255" s="51"/>
      <c r="CS255" s="51"/>
      <c r="CT255" s="42" t="str">
        <f>IFERROR(('基本数据输入&amp;测算结果'!$C$19*7-AVERAGE(J255:AK255)*7-'基本数据输入&amp;测算结果'!$C$23*7)/'基本数据输入&amp;测算结果'!$C$21*'基本数据输入&amp;测算结果'!$C$22,"无数据/数据缺失")</f>
        <v>无数据/数据缺失</v>
      </c>
      <c r="CU255" s="42">
        <f>IF(CT255&lt;0,0,IF(CT255="无数据/数据缺失",0%,IF(CT255&gt;'基本数据输入&amp;测算结果'!$C$20,100%,CT255/'基本数据输入&amp;测算结果'!$C$20)))</f>
        <v>0</v>
      </c>
      <c r="CV255" s="42" t="str">
        <f>IFERROR((AVERAGE(AL255:AS255)*2-'基本数据输入&amp;测算结果'!$C$24*2)/'基本数据输入&amp;测算结果'!$C$21/'基本数据输入&amp;测算结果'!$C$22,"无数据/数据缺失")</f>
        <v>无数据/数据缺失</v>
      </c>
      <c r="CW255" s="42">
        <f>IF(CV255&lt;0,0,IF(CV255="无数据/数据缺失",0%,IF(CV255&gt;'基本数据输入&amp;测算结果'!$C$20*CU255,CU255,CV255/'基本数据输入&amp;测算结果'!$C$20*CU255)))</f>
        <v>0</v>
      </c>
      <c r="CX255" s="42" t="str">
        <f>IFERROR(('基本数据输入&amp;测算结果'!$C$19*2-AVERAGE(AT255:BA255)*2-'基本数据输入&amp;测算结果'!$C$23*2)/'基本数据输入&amp;测算结果'!$C$21*'基本数据输入&amp;测算结果'!$C$22,"无数据/数据缺失")</f>
        <v>无数据/数据缺失</v>
      </c>
      <c r="CY255" s="42">
        <f>IF(CX255&lt;0,0,IF(CX255="无数据/数据缺失",0%,IF(CX255&gt;'基本数据输入&amp;测算结果'!$C$20,100%,CX255/'基本数据输入&amp;测算结果'!$C$20)))</f>
        <v>0</v>
      </c>
      <c r="CZ255" s="42" t="str">
        <f>IFERROR((AVERAGE(BN255:CS255)*8-'基本数据输入&amp;测算结果'!$C$24*8)/'基本数据输入&amp;测算结果'!$C$21/'基本数据输入&amp;测算结果'!$C$22,"无数据/数据缺失")</f>
        <v>无数据/数据缺失</v>
      </c>
      <c r="DA255" s="42">
        <f>IF(CZ255&lt;0,0,IF(CZ255="无数据/数据缺失",0,IF('基本数据输入&amp;测算结果'!$C$20*CY255&gt;CZ255,CZ255/'基本数据输入&amp;测算结果'!$C$20*CY255,CY255)))</f>
        <v>0</v>
      </c>
      <c r="DB255" s="49">
        <f t="shared" si="12"/>
        <v>0</v>
      </c>
      <c r="DC255" s="50"/>
      <c r="DD255" s="50"/>
    </row>
    <row r="256" customHeight="1" spans="1:113">
      <c r="A256" s="54" t="s">
        <v>310</v>
      </c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  <c r="AG256" s="51"/>
      <c r="AH256" s="51"/>
      <c r="AI256" s="51"/>
      <c r="AJ256" s="51"/>
      <c r="AK256" s="51"/>
      <c r="AL256" s="51"/>
      <c r="AM256" s="51"/>
      <c r="AN256" s="51"/>
      <c r="AO256" s="51"/>
      <c r="AP256" s="51"/>
      <c r="AQ256" s="51"/>
      <c r="AR256" s="51"/>
      <c r="AS256" s="51"/>
      <c r="AT256" s="51"/>
      <c r="AU256" s="51"/>
      <c r="AV256" s="51"/>
      <c r="AW256" s="51"/>
      <c r="AX256" s="51"/>
      <c r="AY256" s="51"/>
      <c r="AZ256" s="51"/>
      <c r="BA256" s="51"/>
      <c r="BB256" s="51"/>
      <c r="BC256" s="51"/>
      <c r="BD256" s="51"/>
      <c r="BE256" s="51"/>
      <c r="BF256" s="51"/>
      <c r="BG256" s="51"/>
      <c r="BH256" s="51"/>
      <c r="BI256" s="51"/>
      <c r="BJ256" s="51"/>
      <c r="BK256" s="51"/>
      <c r="BL256" s="51"/>
      <c r="BM256" s="51"/>
      <c r="BN256" s="51"/>
      <c r="BO256" s="51"/>
      <c r="BP256" s="51"/>
      <c r="BQ256" s="51"/>
      <c r="BR256" s="51"/>
      <c r="BS256" s="51"/>
      <c r="BT256" s="51"/>
      <c r="BU256" s="51"/>
      <c r="BV256" s="51"/>
      <c r="BW256" s="51"/>
      <c r="BX256" s="51"/>
      <c r="BY256" s="51"/>
      <c r="BZ256" s="51"/>
      <c r="CA256" s="51"/>
      <c r="CB256" s="51"/>
      <c r="CC256" s="51"/>
      <c r="CD256" s="51"/>
      <c r="CE256" s="51"/>
      <c r="CF256" s="51"/>
      <c r="CG256" s="51"/>
      <c r="CH256" s="51"/>
      <c r="CI256" s="51"/>
      <c r="CJ256" s="51"/>
      <c r="CK256" s="51"/>
      <c r="CL256" s="51"/>
      <c r="CM256" s="51"/>
      <c r="CN256" s="51"/>
      <c r="CO256" s="51"/>
      <c r="CP256" s="51"/>
      <c r="CQ256" s="51"/>
      <c r="CR256" s="51"/>
      <c r="CS256" s="51"/>
      <c r="CT256" s="42" t="str">
        <f>IFERROR(('基本数据输入&amp;测算结果'!$C$19*7-AVERAGE(J256:AK256)*7-'基本数据输入&amp;测算结果'!$C$23*7)/'基本数据输入&amp;测算结果'!$C$21*'基本数据输入&amp;测算结果'!$C$22,"无数据/数据缺失")</f>
        <v>无数据/数据缺失</v>
      </c>
      <c r="CU256" s="42">
        <f>IF(CT256&lt;0,0,IF(CT256="无数据/数据缺失",0%,IF(CT256&gt;'基本数据输入&amp;测算结果'!$C$20,100%,CT256/'基本数据输入&amp;测算结果'!$C$20)))</f>
        <v>0</v>
      </c>
      <c r="CV256" s="42" t="str">
        <f>IFERROR((AVERAGE(AL256:AS256)*2-'基本数据输入&amp;测算结果'!$C$24*2)/'基本数据输入&amp;测算结果'!$C$21/'基本数据输入&amp;测算结果'!$C$22,"无数据/数据缺失")</f>
        <v>无数据/数据缺失</v>
      </c>
      <c r="CW256" s="42">
        <f>IF(CV256&lt;0,0,IF(CV256="无数据/数据缺失",0%,IF(CV256&gt;'基本数据输入&amp;测算结果'!$C$20*CU256,CU256,CV256/'基本数据输入&amp;测算结果'!$C$20*CU256)))</f>
        <v>0</v>
      </c>
      <c r="CX256" s="42" t="str">
        <f>IFERROR(('基本数据输入&amp;测算结果'!$C$19*2-AVERAGE(AT256:BA256)*2-'基本数据输入&amp;测算结果'!$C$23*2)/'基本数据输入&amp;测算结果'!$C$21*'基本数据输入&amp;测算结果'!$C$22,"无数据/数据缺失")</f>
        <v>无数据/数据缺失</v>
      </c>
      <c r="CY256" s="42">
        <f>IF(CX256&lt;0,0,IF(CX256="无数据/数据缺失",0%,IF(CX256&gt;'基本数据输入&amp;测算结果'!$C$20,100%,CX256/'基本数据输入&amp;测算结果'!$C$20)))</f>
        <v>0</v>
      </c>
      <c r="CZ256" s="42" t="str">
        <f>IFERROR((AVERAGE(BN256:CS256)*8-'基本数据输入&amp;测算结果'!$C$24*8)/'基本数据输入&amp;测算结果'!$C$21/'基本数据输入&amp;测算结果'!$C$22,"无数据/数据缺失")</f>
        <v>无数据/数据缺失</v>
      </c>
      <c r="DA256" s="42">
        <f>IF(CZ256&lt;0,0,IF(CZ256="无数据/数据缺失",0,IF('基本数据输入&amp;测算结果'!$C$20*CY256&gt;CZ256,CZ256/'基本数据输入&amp;测算结果'!$C$20*CY256,CY256)))</f>
        <v>0</v>
      </c>
      <c r="DB256" s="49">
        <f t="shared" si="12"/>
        <v>0</v>
      </c>
      <c r="DC256" s="50"/>
      <c r="DD256" s="50"/>
    </row>
    <row r="257" customHeight="1" spans="1:108">
      <c r="A257" s="54" t="s">
        <v>311</v>
      </c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  <c r="AH257" s="51"/>
      <c r="AI257" s="51"/>
      <c r="AJ257" s="51"/>
      <c r="AK257" s="51"/>
      <c r="AL257" s="51"/>
      <c r="AM257" s="51"/>
      <c r="AN257" s="51"/>
      <c r="AO257" s="51"/>
      <c r="AP257" s="51"/>
      <c r="AQ257" s="51"/>
      <c r="AR257" s="51"/>
      <c r="AS257" s="51"/>
      <c r="AT257" s="51"/>
      <c r="AU257" s="51"/>
      <c r="AV257" s="51"/>
      <c r="AW257" s="51"/>
      <c r="AX257" s="51"/>
      <c r="AY257" s="51"/>
      <c r="AZ257" s="51"/>
      <c r="BA257" s="51"/>
      <c r="BB257" s="51"/>
      <c r="BC257" s="51"/>
      <c r="BD257" s="51"/>
      <c r="BE257" s="51"/>
      <c r="BF257" s="51"/>
      <c r="BG257" s="51"/>
      <c r="BH257" s="51"/>
      <c r="BI257" s="51"/>
      <c r="BJ257" s="51"/>
      <c r="BK257" s="51"/>
      <c r="BL257" s="51"/>
      <c r="BM257" s="51"/>
      <c r="BN257" s="51"/>
      <c r="BO257" s="51"/>
      <c r="BP257" s="51"/>
      <c r="BQ257" s="51"/>
      <c r="BR257" s="51"/>
      <c r="BS257" s="51"/>
      <c r="BT257" s="51"/>
      <c r="BU257" s="51"/>
      <c r="BV257" s="51"/>
      <c r="BW257" s="51"/>
      <c r="BX257" s="51"/>
      <c r="BY257" s="51"/>
      <c r="BZ257" s="51"/>
      <c r="CA257" s="51"/>
      <c r="CB257" s="51"/>
      <c r="CC257" s="51"/>
      <c r="CD257" s="51"/>
      <c r="CE257" s="51"/>
      <c r="CF257" s="51"/>
      <c r="CG257" s="51"/>
      <c r="CH257" s="51"/>
      <c r="CI257" s="51"/>
      <c r="CJ257" s="51"/>
      <c r="CK257" s="51"/>
      <c r="CL257" s="51"/>
      <c r="CM257" s="51"/>
      <c r="CN257" s="51"/>
      <c r="CO257" s="51"/>
      <c r="CP257" s="51"/>
      <c r="CQ257" s="51"/>
      <c r="CR257" s="51"/>
      <c r="CS257" s="51"/>
      <c r="CT257" s="42" t="str">
        <f>IFERROR(('基本数据输入&amp;测算结果'!$C$19*7-AVERAGE(J257:AK257)*7-'基本数据输入&amp;测算结果'!$C$23*7)/'基本数据输入&amp;测算结果'!$C$21*'基本数据输入&amp;测算结果'!$C$22,"无数据/数据缺失")</f>
        <v>无数据/数据缺失</v>
      </c>
      <c r="CU257" s="42">
        <f>IF(CT257&lt;0,0,IF(CT257="无数据/数据缺失",0%,IF(CT257&gt;'基本数据输入&amp;测算结果'!$C$20,100%,CT257/'基本数据输入&amp;测算结果'!$C$20)))</f>
        <v>0</v>
      </c>
      <c r="CV257" s="42" t="str">
        <f>IFERROR((AVERAGE(AL257:AS257)*2-'基本数据输入&amp;测算结果'!$C$24*2)/'基本数据输入&amp;测算结果'!$C$21/'基本数据输入&amp;测算结果'!$C$22,"无数据/数据缺失")</f>
        <v>无数据/数据缺失</v>
      </c>
      <c r="CW257" s="42">
        <f>IF(CV257&lt;0,0,IF(CV257="无数据/数据缺失",0%,IF(CV257&gt;'基本数据输入&amp;测算结果'!$C$20*CU257,CU257,CV257/'基本数据输入&amp;测算结果'!$C$20*CU257)))</f>
        <v>0</v>
      </c>
      <c r="CX257" s="42" t="str">
        <f>IFERROR(('基本数据输入&amp;测算结果'!$C$19*2-AVERAGE(AT257:BA257)*2-'基本数据输入&amp;测算结果'!$C$23*2)/'基本数据输入&amp;测算结果'!$C$21*'基本数据输入&amp;测算结果'!$C$22,"无数据/数据缺失")</f>
        <v>无数据/数据缺失</v>
      </c>
      <c r="CY257" s="42">
        <f>IF(CX257&lt;0,0,IF(CX257="无数据/数据缺失",0%,IF(CX257&gt;'基本数据输入&amp;测算结果'!$C$20,100%,CX257/'基本数据输入&amp;测算结果'!$C$20)))</f>
        <v>0</v>
      </c>
      <c r="CZ257" s="42" t="str">
        <f>IFERROR((AVERAGE(BN257:CS257)*8-'基本数据输入&amp;测算结果'!$C$24*8)/'基本数据输入&amp;测算结果'!$C$21/'基本数据输入&amp;测算结果'!$C$22,"无数据/数据缺失")</f>
        <v>无数据/数据缺失</v>
      </c>
      <c r="DA257" s="42">
        <f>IF(CZ257&lt;0,0,IF(CZ257="无数据/数据缺失",0,IF('基本数据输入&amp;测算结果'!$C$20*CY257&gt;CZ257,CZ257/'基本数据输入&amp;测算结果'!$C$20*CY257,CY257)))</f>
        <v>0</v>
      </c>
      <c r="DB257" s="49">
        <f t="shared" si="12"/>
        <v>0</v>
      </c>
      <c r="DC257" s="50"/>
      <c r="DD257" s="50"/>
    </row>
    <row r="258" customHeight="1" spans="1:108">
      <c r="A258" s="54" t="s">
        <v>312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  <c r="AG258" s="51"/>
      <c r="AH258" s="51"/>
      <c r="AI258" s="51"/>
      <c r="AJ258" s="51"/>
      <c r="AK258" s="51"/>
      <c r="AL258" s="51"/>
      <c r="AM258" s="51"/>
      <c r="AN258" s="51"/>
      <c r="AO258" s="51"/>
      <c r="AP258" s="51"/>
      <c r="AQ258" s="51"/>
      <c r="AR258" s="51"/>
      <c r="AS258" s="51"/>
      <c r="AT258" s="51"/>
      <c r="AU258" s="51"/>
      <c r="AV258" s="51"/>
      <c r="AW258" s="51"/>
      <c r="AX258" s="51"/>
      <c r="AY258" s="51"/>
      <c r="AZ258" s="51"/>
      <c r="BA258" s="51"/>
      <c r="BB258" s="51"/>
      <c r="BC258" s="51"/>
      <c r="BD258" s="51"/>
      <c r="BE258" s="51"/>
      <c r="BF258" s="51"/>
      <c r="BG258" s="51"/>
      <c r="BH258" s="51"/>
      <c r="BI258" s="51"/>
      <c r="BJ258" s="51"/>
      <c r="BK258" s="51"/>
      <c r="BL258" s="51"/>
      <c r="BM258" s="51"/>
      <c r="BN258" s="51"/>
      <c r="BO258" s="51"/>
      <c r="BP258" s="51"/>
      <c r="BQ258" s="51"/>
      <c r="BR258" s="51"/>
      <c r="BS258" s="51"/>
      <c r="BT258" s="51"/>
      <c r="BU258" s="51"/>
      <c r="BV258" s="51"/>
      <c r="BW258" s="51"/>
      <c r="BX258" s="51"/>
      <c r="BY258" s="51"/>
      <c r="BZ258" s="51"/>
      <c r="CA258" s="51"/>
      <c r="CB258" s="51"/>
      <c r="CC258" s="51"/>
      <c r="CD258" s="51"/>
      <c r="CE258" s="51"/>
      <c r="CF258" s="51"/>
      <c r="CG258" s="51"/>
      <c r="CH258" s="51"/>
      <c r="CI258" s="51"/>
      <c r="CJ258" s="51"/>
      <c r="CK258" s="51"/>
      <c r="CL258" s="51"/>
      <c r="CM258" s="51"/>
      <c r="CN258" s="51"/>
      <c r="CO258" s="51"/>
      <c r="CP258" s="51"/>
      <c r="CQ258" s="51"/>
      <c r="CR258" s="51"/>
      <c r="CS258" s="51"/>
      <c r="CT258" s="42" t="str">
        <f>IFERROR(('基本数据输入&amp;测算结果'!$C$19*7-AVERAGE(J258:AK258)*7-'基本数据输入&amp;测算结果'!$C$23*7)/'基本数据输入&amp;测算结果'!$C$21*'基本数据输入&amp;测算结果'!$C$22,"无数据/数据缺失")</f>
        <v>无数据/数据缺失</v>
      </c>
      <c r="CU258" s="42">
        <f>IF(CT258&lt;0,0,IF(CT258="无数据/数据缺失",0%,IF(CT258&gt;'基本数据输入&amp;测算结果'!$C$20,100%,CT258/'基本数据输入&amp;测算结果'!$C$20)))</f>
        <v>0</v>
      </c>
      <c r="CV258" s="42" t="str">
        <f>IFERROR((AVERAGE(AL258:AS258)*2-'基本数据输入&amp;测算结果'!$C$24*2)/'基本数据输入&amp;测算结果'!$C$21/'基本数据输入&amp;测算结果'!$C$22,"无数据/数据缺失")</f>
        <v>无数据/数据缺失</v>
      </c>
      <c r="CW258" s="42">
        <f>IF(CV258&lt;0,0,IF(CV258="无数据/数据缺失",0%,IF(CV258&gt;'基本数据输入&amp;测算结果'!$C$20*CU258,CU258,CV258/'基本数据输入&amp;测算结果'!$C$20*CU258)))</f>
        <v>0</v>
      </c>
      <c r="CX258" s="42" t="str">
        <f>IFERROR(('基本数据输入&amp;测算结果'!$C$19*2-AVERAGE(AT258:BA258)*2-'基本数据输入&amp;测算结果'!$C$23*2)/'基本数据输入&amp;测算结果'!$C$21*'基本数据输入&amp;测算结果'!$C$22,"无数据/数据缺失")</f>
        <v>无数据/数据缺失</v>
      </c>
      <c r="CY258" s="42">
        <f>IF(CX258&lt;0,0,IF(CX258="无数据/数据缺失",0%,IF(CX258&gt;'基本数据输入&amp;测算结果'!$C$20,100%,CX258/'基本数据输入&amp;测算结果'!$C$20)))</f>
        <v>0</v>
      </c>
      <c r="CZ258" s="42" t="str">
        <f>IFERROR((AVERAGE(BN258:CS258)*8-'基本数据输入&amp;测算结果'!$C$24*8)/'基本数据输入&amp;测算结果'!$C$21/'基本数据输入&amp;测算结果'!$C$22,"无数据/数据缺失")</f>
        <v>无数据/数据缺失</v>
      </c>
      <c r="DA258" s="42">
        <f>IF(CZ258&lt;0,0,IF(CZ258="无数据/数据缺失",0,IF('基本数据输入&amp;测算结果'!$C$20*CY258&gt;CZ258,CZ258/'基本数据输入&amp;测算结果'!$C$20*CY258,CY258)))</f>
        <v>0</v>
      </c>
      <c r="DB258" s="49">
        <f t="shared" si="12"/>
        <v>0</v>
      </c>
      <c r="DC258" s="50"/>
      <c r="DD258" s="50"/>
    </row>
    <row r="259" customHeight="1" spans="1:108">
      <c r="A259" s="54" t="s">
        <v>313</v>
      </c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51"/>
      <c r="AJ259" s="51"/>
      <c r="AK259" s="51"/>
      <c r="AL259" s="51"/>
      <c r="AM259" s="51"/>
      <c r="AN259" s="51"/>
      <c r="AO259" s="51"/>
      <c r="AP259" s="51"/>
      <c r="AQ259" s="51"/>
      <c r="AR259" s="51"/>
      <c r="AS259" s="51"/>
      <c r="AT259" s="51"/>
      <c r="AU259" s="51"/>
      <c r="AV259" s="51"/>
      <c r="AW259" s="51"/>
      <c r="AX259" s="51"/>
      <c r="AY259" s="51"/>
      <c r="AZ259" s="51"/>
      <c r="BA259" s="51"/>
      <c r="BB259" s="51"/>
      <c r="BC259" s="51"/>
      <c r="BD259" s="51"/>
      <c r="BE259" s="51"/>
      <c r="BF259" s="51"/>
      <c r="BG259" s="51"/>
      <c r="BH259" s="51"/>
      <c r="BI259" s="51"/>
      <c r="BJ259" s="51"/>
      <c r="BK259" s="51"/>
      <c r="BL259" s="51"/>
      <c r="BM259" s="51"/>
      <c r="BN259" s="51"/>
      <c r="BO259" s="51"/>
      <c r="BP259" s="51"/>
      <c r="BQ259" s="51"/>
      <c r="BR259" s="51"/>
      <c r="BS259" s="51"/>
      <c r="BT259" s="51"/>
      <c r="BU259" s="51"/>
      <c r="BV259" s="51"/>
      <c r="BW259" s="51"/>
      <c r="BX259" s="51"/>
      <c r="BY259" s="51"/>
      <c r="BZ259" s="51"/>
      <c r="CA259" s="51"/>
      <c r="CB259" s="51"/>
      <c r="CC259" s="51"/>
      <c r="CD259" s="51"/>
      <c r="CE259" s="51"/>
      <c r="CF259" s="51"/>
      <c r="CG259" s="51"/>
      <c r="CH259" s="51"/>
      <c r="CI259" s="51"/>
      <c r="CJ259" s="51"/>
      <c r="CK259" s="51"/>
      <c r="CL259" s="51"/>
      <c r="CM259" s="51"/>
      <c r="CN259" s="51"/>
      <c r="CO259" s="51"/>
      <c r="CP259" s="51"/>
      <c r="CQ259" s="51"/>
      <c r="CR259" s="51"/>
      <c r="CS259" s="51"/>
      <c r="CT259" s="42" t="str">
        <f>IFERROR(('基本数据输入&amp;测算结果'!$C$19*7-AVERAGE(J259:AK259)*7-'基本数据输入&amp;测算结果'!$C$23*7)/'基本数据输入&amp;测算结果'!$C$21*'基本数据输入&amp;测算结果'!$C$22,"无数据/数据缺失")</f>
        <v>无数据/数据缺失</v>
      </c>
      <c r="CU259" s="42">
        <f>IF(CT259&lt;0,0,IF(CT259="无数据/数据缺失",0%,IF(CT259&gt;'基本数据输入&amp;测算结果'!$C$20,100%,CT259/'基本数据输入&amp;测算结果'!$C$20)))</f>
        <v>0</v>
      </c>
      <c r="CV259" s="42" t="str">
        <f>IFERROR((AVERAGE(AL259:AS259)*2-'基本数据输入&amp;测算结果'!$C$24*2)/'基本数据输入&amp;测算结果'!$C$21/'基本数据输入&amp;测算结果'!$C$22,"无数据/数据缺失")</f>
        <v>无数据/数据缺失</v>
      </c>
      <c r="CW259" s="42">
        <f>IF(CV259&lt;0,0,IF(CV259="无数据/数据缺失",0%,IF(CV259&gt;'基本数据输入&amp;测算结果'!$C$20*CU259,CU259,CV259/'基本数据输入&amp;测算结果'!$C$20*CU259)))</f>
        <v>0</v>
      </c>
      <c r="CX259" s="42" t="str">
        <f>IFERROR(('基本数据输入&amp;测算结果'!$C$19*2-AVERAGE(AT259:BA259)*2-'基本数据输入&amp;测算结果'!$C$23*2)/'基本数据输入&amp;测算结果'!$C$21*'基本数据输入&amp;测算结果'!$C$22,"无数据/数据缺失")</f>
        <v>无数据/数据缺失</v>
      </c>
      <c r="CY259" s="42">
        <f>IF(CX259&lt;0,0,IF(CX259="无数据/数据缺失",0%,IF(CX259&gt;'基本数据输入&amp;测算结果'!$C$20,100%,CX259/'基本数据输入&amp;测算结果'!$C$20)))</f>
        <v>0</v>
      </c>
      <c r="CZ259" s="42" t="str">
        <f>IFERROR((AVERAGE(BN259:CS259)*8-'基本数据输入&amp;测算结果'!$C$24*8)/'基本数据输入&amp;测算结果'!$C$21/'基本数据输入&amp;测算结果'!$C$22,"无数据/数据缺失")</f>
        <v>无数据/数据缺失</v>
      </c>
      <c r="DA259" s="42">
        <f>IF(CZ259&lt;0,0,IF(CZ259="无数据/数据缺失",0,IF('基本数据输入&amp;测算结果'!$C$20*CY259&gt;CZ259,CZ259/'基本数据输入&amp;测算结果'!$C$20*CY259,CY259)))</f>
        <v>0</v>
      </c>
      <c r="DB259" s="49">
        <f t="shared" si="12"/>
        <v>0</v>
      </c>
      <c r="DC259" s="50"/>
      <c r="DD259" s="50"/>
    </row>
    <row r="260" customHeight="1" spans="1:108">
      <c r="A260" s="54" t="s">
        <v>314</v>
      </c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  <c r="AJ260" s="51"/>
      <c r="AK260" s="51"/>
      <c r="AL260" s="51"/>
      <c r="AM260" s="51"/>
      <c r="AN260" s="51"/>
      <c r="AO260" s="51"/>
      <c r="AP260" s="51"/>
      <c r="AQ260" s="51"/>
      <c r="AR260" s="51"/>
      <c r="AS260" s="51"/>
      <c r="AT260" s="51"/>
      <c r="AU260" s="51"/>
      <c r="AV260" s="51"/>
      <c r="AW260" s="51"/>
      <c r="AX260" s="51"/>
      <c r="AY260" s="51"/>
      <c r="AZ260" s="51"/>
      <c r="BA260" s="51"/>
      <c r="BB260" s="51"/>
      <c r="BC260" s="51"/>
      <c r="BD260" s="51"/>
      <c r="BE260" s="51"/>
      <c r="BF260" s="51"/>
      <c r="BG260" s="51"/>
      <c r="BH260" s="51"/>
      <c r="BI260" s="51"/>
      <c r="BJ260" s="51"/>
      <c r="BK260" s="51"/>
      <c r="BL260" s="51"/>
      <c r="BM260" s="51"/>
      <c r="BN260" s="51"/>
      <c r="BO260" s="51"/>
      <c r="BP260" s="51"/>
      <c r="BQ260" s="51"/>
      <c r="BR260" s="51"/>
      <c r="BS260" s="51"/>
      <c r="BT260" s="51"/>
      <c r="BU260" s="51"/>
      <c r="BV260" s="51"/>
      <c r="BW260" s="51"/>
      <c r="BX260" s="51"/>
      <c r="BY260" s="51"/>
      <c r="BZ260" s="51"/>
      <c r="CA260" s="51"/>
      <c r="CB260" s="51"/>
      <c r="CC260" s="51"/>
      <c r="CD260" s="51"/>
      <c r="CE260" s="51"/>
      <c r="CF260" s="51"/>
      <c r="CG260" s="51"/>
      <c r="CH260" s="51"/>
      <c r="CI260" s="51"/>
      <c r="CJ260" s="51"/>
      <c r="CK260" s="51"/>
      <c r="CL260" s="51"/>
      <c r="CM260" s="51"/>
      <c r="CN260" s="51"/>
      <c r="CO260" s="51"/>
      <c r="CP260" s="51"/>
      <c r="CQ260" s="51"/>
      <c r="CR260" s="51"/>
      <c r="CS260" s="51"/>
      <c r="CT260" s="42" t="str">
        <f>IFERROR(('基本数据输入&amp;测算结果'!$C$19*7-AVERAGE(J260:AK260)*7-'基本数据输入&amp;测算结果'!$C$23*7)/'基本数据输入&amp;测算结果'!$C$21*'基本数据输入&amp;测算结果'!$C$22,"无数据/数据缺失")</f>
        <v>无数据/数据缺失</v>
      </c>
      <c r="CU260" s="42">
        <f>IF(CT260&lt;0,0,IF(CT260="无数据/数据缺失",0%,IF(CT260&gt;'基本数据输入&amp;测算结果'!$C$20,100%,CT260/'基本数据输入&amp;测算结果'!$C$20)))</f>
        <v>0</v>
      </c>
      <c r="CV260" s="42" t="str">
        <f>IFERROR((AVERAGE(AL260:AS260)*2-'基本数据输入&amp;测算结果'!$C$24*2)/'基本数据输入&amp;测算结果'!$C$21/'基本数据输入&amp;测算结果'!$C$22,"无数据/数据缺失")</f>
        <v>无数据/数据缺失</v>
      </c>
      <c r="CW260" s="42">
        <f>IF(CV260&lt;0,0,IF(CV260="无数据/数据缺失",0%,IF(CV260&gt;'基本数据输入&amp;测算结果'!$C$20*CU260,CU260,CV260/'基本数据输入&amp;测算结果'!$C$20*CU260)))</f>
        <v>0</v>
      </c>
      <c r="CX260" s="42" t="str">
        <f>IFERROR(('基本数据输入&amp;测算结果'!$C$19*2-AVERAGE(AT260:BA260)*2-'基本数据输入&amp;测算结果'!$C$23*2)/'基本数据输入&amp;测算结果'!$C$21*'基本数据输入&amp;测算结果'!$C$22,"无数据/数据缺失")</f>
        <v>无数据/数据缺失</v>
      </c>
      <c r="CY260" s="42">
        <f>IF(CX260&lt;0,0,IF(CX260="无数据/数据缺失",0%,IF(CX260&gt;'基本数据输入&amp;测算结果'!$C$20,100%,CX260/'基本数据输入&amp;测算结果'!$C$20)))</f>
        <v>0</v>
      </c>
      <c r="CZ260" s="42" t="str">
        <f>IFERROR((AVERAGE(BN260:CS260)*8-'基本数据输入&amp;测算结果'!$C$24*8)/'基本数据输入&amp;测算结果'!$C$21/'基本数据输入&amp;测算结果'!$C$22,"无数据/数据缺失")</f>
        <v>无数据/数据缺失</v>
      </c>
      <c r="DA260" s="42">
        <f>IF(CZ260&lt;0,0,IF(CZ260="无数据/数据缺失",0,IF('基本数据输入&amp;测算结果'!$C$20*CY260&gt;CZ260,CZ260/'基本数据输入&amp;测算结果'!$C$20*CY260,CY260)))</f>
        <v>0</v>
      </c>
      <c r="DB260" s="49">
        <f t="shared" si="12"/>
        <v>0</v>
      </c>
      <c r="DC260" s="50"/>
      <c r="DD260" s="50"/>
    </row>
    <row r="261" customHeight="1" spans="1:108">
      <c r="A261" s="54" t="s">
        <v>315</v>
      </c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1"/>
      <c r="AM261" s="51"/>
      <c r="AN261" s="51"/>
      <c r="AO261" s="51"/>
      <c r="AP261" s="51"/>
      <c r="AQ261" s="51"/>
      <c r="AR261" s="51"/>
      <c r="AS261" s="51"/>
      <c r="AT261" s="51"/>
      <c r="AU261" s="51"/>
      <c r="AV261" s="51"/>
      <c r="AW261" s="51"/>
      <c r="AX261" s="51"/>
      <c r="AY261" s="51"/>
      <c r="AZ261" s="51"/>
      <c r="BA261" s="51"/>
      <c r="BB261" s="51"/>
      <c r="BC261" s="51"/>
      <c r="BD261" s="51"/>
      <c r="BE261" s="51"/>
      <c r="BF261" s="51"/>
      <c r="BG261" s="51"/>
      <c r="BH261" s="51"/>
      <c r="BI261" s="51"/>
      <c r="BJ261" s="51"/>
      <c r="BK261" s="51"/>
      <c r="BL261" s="51"/>
      <c r="BM261" s="51"/>
      <c r="BN261" s="51"/>
      <c r="BO261" s="51"/>
      <c r="BP261" s="51"/>
      <c r="BQ261" s="51"/>
      <c r="BR261" s="51"/>
      <c r="BS261" s="51"/>
      <c r="BT261" s="51"/>
      <c r="BU261" s="51"/>
      <c r="BV261" s="51"/>
      <c r="BW261" s="51"/>
      <c r="BX261" s="51"/>
      <c r="BY261" s="51"/>
      <c r="BZ261" s="51"/>
      <c r="CA261" s="51"/>
      <c r="CB261" s="51"/>
      <c r="CC261" s="51"/>
      <c r="CD261" s="51"/>
      <c r="CE261" s="51"/>
      <c r="CF261" s="51"/>
      <c r="CG261" s="51"/>
      <c r="CH261" s="51"/>
      <c r="CI261" s="51"/>
      <c r="CJ261" s="51"/>
      <c r="CK261" s="51"/>
      <c r="CL261" s="51"/>
      <c r="CM261" s="51"/>
      <c r="CN261" s="51"/>
      <c r="CO261" s="51"/>
      <c r="CP261" s="51"/>
      <c r="CQ261" s="51"/>
      <c r="CR261" s="51"/>
      <c r="CS261" s="51"/>
      <c r="CT261" s="42" t="str">
        <f>IFERROR(('基本数据输入&amp;测算结果'!$C$19*7-AVERAGE(J261:AK261)*7-'基本数据输入&amp;测算结果'!$C$23*7)/'基本数据输入&amp;测算结果'!$C$21*'基本数据输入&amp;测算结果'!$C$22,"无数据/数据缺失")</f>
        <v>无数据/数据缺失</v>
      </c>
      <c r="CU261" s="42">
        <f>IF(CT261&lt;0,0,IF(CT261="无数据/数据缺失",0%,IF(CT261&gt;'基本数据输入&amp;测算结果'!$C$20,100%,CT261/'基本数据输入&amp;测算结果'!$C$20)))</f>
        <v>0</v>
      </c>
      <c r="CV261" s="42" t="str">
        <f>IFERROR((AVERAGE(AL261:AS261)*2-'基本数据输入&amp;测算结果'!$C$24*2)/'基本数据输入&amp;测算结果'!$C$21/'基本数据输入&amp;测算结果'!$C$22,"无数据/数据缺失")</f>
        <v>无数据/数据缺失</v>
      </c>
      <c r="CW261" s="42">
        <f>IF(CV261&lt;0,0,IF(CV261="无数据/数据缺失",0%,IF(CV261&gt;'基本数据输入&amp;测算结果'!$C$20*CU261,CU261,CV261/'基本数据输入&amp;测算结果'!$C$20*CU261)))</f>
        <v>0</v>
      </c>
      <c r="CX261" s="42" t="str">
        <f>IFERROR(('基本数据输入&amp;测算结果'!$C$19*2-AVERAGE(AT261:BA261)*2-'基本数据输入&amp;测算结果'!$C$23*2)/'基本数据输入&amp;测算结果'!$C$21*'基本数据输入&amp;测算结果'!$C$22,"无数据/数据缺失")</f>
        <v>无数据/数据缺失</v>
      </c>
      <c r="CY261" s="42">
        <f>IF(CX261&lt;0,0,IF(CX261="无数据/数据缺失",0%,IF(CX261&gt;'基本数据输入&amp;测算结果'!$C$20,100%,CX261/'基本数据输入&amp;测算结果'!$C$20)))</f>
        <v>0</v>
      </c>
      <c r="CZ261" s="42" t="str">
        <f>IFERROR((AVERAGE(BN261:CS261)*8-'基本数据输入&amp;测算结果'!$C$24*8)/'基本数据输入&amp;测算结果'!$C$21/'基本数据输入&amp;测算结果'!$C$22,"无数据/数据缺失")</f>
        <v>无数据/数据缺失</v>
      </c>
      <c r="DA261" s="42">
        <f>IF(CZ261&lt;0,0,IF(CZ261="无数据/数据缺失",0,IF('基本数据输入&amp;测算结果'!$C$20*CY261&gt;CZ261,CZ261/'基本数据输入&amp;测算结果'!$C$20*CY261,CY261)))</f>
        <v>0</v>
      </c>
      <c r="DB261" s="49">
        <f t="shared" si="12"/>
        <v>0</v>
      </c>
      <c r="DC261" s="50"/>
      <c r="DD261" s="50"/>
    </row>
    <row r="262" customHeight="1" spans="1:108">
      <c r="A262" s="54" t="s">
        <v>316</v>
      </c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  <c r="AN262" s="51"/>
      <c r="AO262" s="51"/>
      <c r="AP262" s="51"/>
      <c r="AQ262" s="51"/>
      <c r="AR262" s="51"/>
      <c r="AS262" s="51"/>
      <c r="AT262" s="51"/>
      <c r="AU262" s="51"/>
      <c r="AV262" s="51"/>
      <c r="AW262" s="51"/>
      <c r="AX262" s="51"/>
      <c r="AY262" s="51"/>
      <c r="AZ262" s="51"/>
      <c r="BA262" s="51"/>
      <c r="BB262" s="51"/>
      <c r="BC262" s="51"/>
      <c r="BD262" s="51"/>
      <c r="BE262" s="51"/>
      <c r="BF262" s="51"/>
      <c r="BG262" s="51"/>
      <c r="BH262" s="51"/>
      <c r="BI262" s="51"/>
      <c r="BJ262" s="51"/>
      <c r="BK262" s="51"/>
      <c r="BL262" s="51"/>
      <c r="BM262" s="51"/>
      <c r="BN262" s="51"/>
      <c r="BO262" s="51"/>
      <c r="BP262" s="51"/>
      <c r="BQ262" s="51"/>
      <c r="BR262" s="51"/>
      <c r="BS262" s="51"/>
      <c r="BT262" s="51"/>
      <c r="BU262" s="51"/>
      <c r="BV262" s="51"/>
      <c r="BW262" s="51"/>
      <c r="BX262" s="51"/>
      <c r="BY262" s="51"/>
      <c r="BZ262" s="51"/>
      <c r="CA262" s="51"/>
      <c r="CB262" s="51"/>
      <c r="CC262" s="51"/>
      <c r="CD262" s="51"/>
      <c r="CE262" s="51"/>
      <c r="CF262" s="51"/>
      <c r="CG262" s="51"/>
      <c r="CH262" s="51"/>
      <c r="CI262" s="51"/>
      <c r="CJ262" s="51"/>
      <c r="CK262" s="51"/>
      <c r="CL262" s="51"/>
      <c r="CM262" s="51"/>
      <c r="CN262" s="51"/>
      <c r="CO262" s="51"/>
      <c r="CP262" s="51"/>
      <c r="CQ262" s="51"/>
      <c r="CR262" s="51"/>
      <c r="CS262" s="51"/>
      <c r="CT262" s="42" t="str">
        <f>IFERROR(('基本数据输入&amp;测算结果'!$C$19*7-AVERAGE(J262:AK262)*7-'基本数据输入&amp;测算结果'!$C$23*7)/'基本数据输入&amp;测算结果'!$C$21*'基本数据输入&amp;测算结果'!$C$22,"无数据/数据缺失")</f>
        <v>无数据/数据缺失</v>
      </c>
      <c r="CU262" s="42">
        <f>IF(CT262&lt;0,0,IF(CT262="无数据/数据缺失",0%,IF(CT262&gt;'基本数据输入&amp;测算结果'!$C$20,100%,CT262/'基本数据输入&amp;测算结果'!$C$20)))</f>
        <v>0</v>
      </c>
      <c r="CV262" s="42" t="str">
        <f>IFERROR((AVERAGE(AL262:AS262)*2-'基本数据输入&amp;测算结果'!$C$24*2)/'基本数据输入&amp;测算结果'!$C$21/'基本数据输入&amp;测算结果'!$C$22,"无数据/数据缺失")</f>
        <v>无数据/数据缺失</v>
      </c>
      <c r="CW262" s="42">
        <f>IF(CV262&lt;0,0,IF(CV262="无数据/数据缺失",0%,IF(CV262&gt;'基本数据输入&amp;测算结果'!$C$20*CU262,CU262,CV262/'基本数据输入&amp;测算结果'!$C$20*CU262)))</f>
        <v>0</v>
      </c>
      <c r="CX262" s="42" t="str">
        <f>IFERROR(('基本数据输入&amp;测算结果'!$C$19*2-AVERAGE(AT262:BA262)*2-'基本数据输入&amp;测算结果'!$C$23*2)/'基本数据输入&amp;测算结果'!$C$21*'基本数据输入&amp;测算结果'!$C$22,"无数据/数据缺失")</f>
        <v>无数据/数据缺失</v>
      </c>
      <c r="CY262" s="42">
        <f>IF(CX262&lt;0,0,IF(CX262="无数据/数据缺失",0%,IF(CX262&gt;'基本数据输入&amp;测算结果'!$C$20,100%,CX262/'基本数据输入&amp;测算结果'!$C$20)))</f>
        <v>0</v>
      </c>
      <c r="CZ262" s="42" t="str">
        <f>IFERROR((AVERAGE(BN262:CS262)*8-'基本数据输入&amp;测算结果'!$C$24*8)/'基本数据输入&amp;测算结果'!$C$21/'基本数据输入&amp;测算结果'!$C$22,"无数据/数据缺失")</f>
        <v>无数据/数据缺失</v>
      </c>
      <c r="DA262" s="42">
        <f>IF(CZ262&lt;0,0,IF(CZ262="无数据/数据缺失",0,IF('基本数据输入&amp;测算结果'!$C$20*CY262&gt;CZ262,CZ262/'基本数据输入&amp;测算结果'!$C$20*CY262,CY262)))</f>
        <v>0</v>
      </c>
      <c r="DB262" s="49">
        <f t="shared" si="12"/>
        <v>0</v>
      </c>
      <c r="DC262" s="50"/>
      <c r="DD262" s="50"/>
    </row>
    <row r="263" customHeight="1" spans="1:108">
      <c r="A263" s="54" t="s">
        <v>317</v>
      </c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  <c r="AI263" s="51"/>
      <c r="AJ263" s="51"/>
      <c r="AK263" s="51"/>
      <c r="AL263" s="51"/>
      <c r="AM263" s="51"/>
      <c r="AN263" s="51"/>
      <c r="AO263" s="51"/>
      <c r="AP263" s="51"/>
      <c r="AQ263" s="51"/>
      <c r="AR263" s="51"/>
      <c r="AS263" s="51"/>
      <c r="AT263" s="51"/>
      <c r="AU263" s="51"/>
      <c r="AV263" s="51"/>
      <c r="AW263" s="51"/>
      <c r="AX263" s="51"/>
      <c r="AY263" s="51"/>
      <c r="AZ263" s="51"/>
      <c r="BA263" s="51"/>
      <c r="BB263" s="51"/>
      <c r="BC263" s="51"/>
      <c r="BD263" s="51"/>
      <c r="BE263" s="51"/>
      <c r="BF263" s="51"/>
      <c r="BG263" s="51"/>
      <c r="BH263" s="51"/>
      <c r="BI263" s="51"/>
      <c r="BJ263" s="51"/>
      <c r="BK263" s="51"/>
      <c r="BL263" s="51"/>
      <c r="BM263" s="51"/>
      <c r="BN263" s="51"/>
      <c r="BO263" s="51"/>
      <c r="BP263" s="51"/>
      <c r="BQ263" s="51"/>
      <c r="BR263" s="51"/>
      <c r="BS263" s="51"/>
      <c r="BT263" s="51"/>
      <c r="BU263" s="51"/>
      <c r="BV263" s="51"/>
      <c r="BW263" s="51"/>
      <c r="BX263" s="51"/>
      <c r="BY263" s="51"/>
      <c r="BZ263" s="51"/>
      <c r="CA263" s="51"/>
      <c r="CB263" s="51"/>
      <c r="CC263" s="51"/>
      <c r="CD263" s="51"/>
      <c r="CE263" s="51"/>
      <c r="CF263" s="51"/>
      <c r="CG263" s="51"/>
      <c r="CH263" s="51"/>
      <c r="CI263" s="51"/>
      <c r="CJ263" s="51"/>
      <c r="CK263" s="51"/>
      <c r="CL263" s="51"/>
      <c r="CM263" s="51"/>
      <c r="CN263" s="51"/>
      <c r="CO263" s="51"/>
      <c r="CP263" s="51"/>
      <c r="CQ263" s="51"/>
      <c r="CR263" s="51"/>
      <c r="CS263" s="51"/>
      <c r="CT263" s="42" t="str">
        <f>IFERROR(('基本数据输入&amp;测算结果'!$C$19*7-AVERAGE(J263:AK263)*7-'基本数据输入&amp;测算结果'!$C$23*7)/'基本数据输入&amp;测算结果'!$C$21*'基本数据输入&amp;测算结果'!$C$22,"无数据/数据缺失")</f>
        <v>无数据/数据缺失</v>
      </c>
      <c r="CU263" s="42">
        <f>IF(CT263&lt;0,0,IF(CT263="无数据/数据缺失",0%,IF(CT263&gt;'基本数据输入&amp;测算结果'!$C$20,100%,CT263/'基本数据输入&amp;测算结果'!$C$20)))</f>
        <v>0</v>
      </c>
      <c r="CV263" s="42" t="str">
        <f>IFERROR((AVERAGE(AL263:AS263)*2-'基本数据输入&amp;测算结果'!$C$24*2)/'基本数据输入&amp;测算结果'!$C$21/'基本数据输入&amp;测算结果'!$C$22,"无数据/数据缺失")</f>
        <v>无数据/数据缺失</v>
      </c>
      <c r="CW263" s="42">
        <f>IF(CV263&lt;0,0,IF(CV263="无数据/数据缺失",0%,IF(CV263&gt;'基本数据输入&amp;测算结果'!$C$20*CU263,CU263,CV263/'基本数据输入&amp;测算结果'!$C$20*CU263)))</f>
        <v>0</v>
      </c>
      <c r="CX263" s="42" t="str">
        <f>IFERROR(('基本数据输入&amp;测算结果'!$C$19*2-AVERAGE(AT263:BA263)*2-'基本数据输入&amp;测算结果'!$C$23*2)/'基本数据输入&amp;测算结果'!$C$21*'基本数据输入&amp;测算结果'!$C$22,"无数据/数据缺失")</f>
        <v>无数据/数据缺失</v>
      </c>
      <c r="CY263" s="42">
        <f>IF(CX263&lt;0,0,IF(CX263="无数据/数据缺失",0%,IF(CX263&gt;'基本数据输入&amp;测算结果'!$C$20,100%,CX263/'基本数据输入&amp;测算结果'!$C$20)))</f>
        <v>0</v>
      </c>
      <c r="CZ263" s="42" t="str">
        <f>IFERROR((AVERAGE(BN263:CS263)*8-'基本数据输入&amp;测算结果'!$C$24*8)/'基本数据输入&amp;测算结果'!$C$21/'基本数据输入&amp;测算结果'!$C$22,"无数据/数据缺失")</f>
        <v>无数据/数据缺失</v>
      </c>
      <c r="DA263" s="42">
        <f>IF(CZ263&lt;0,0,IF(CZ263="无数据/数据缺失",0,IF('基本数据输入&amp;测算结果'!$C$20*CY263&gt;CZ263,CZ263/'基本数据输入&amp;测算结果'!$C$20*CY263,CY263)))</f>
        <v>0</v>
      </c>
      <c r="DB263" s="49">
        <f t="shared" si="12"/>
        <v>0</v>
      </c>
      <c r="DC263" s="50"/>
      <c r="DD263" s="50"/>
    </row>
    <row r="264" customHeight="1" spans="1:108">
      <c r="A264" s="54" t="s">
        <v>318</v>
      </c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  <c r="AH264" s="51"/>
      <c r="AI264" s="51"/>
      <c r="AJ264" s="51"/>
      <c r="AK264" s="51"/>
      <c r="AL264" s="51"/>
      <c r="AM264" s="51"/>
      <c r="AN264" s="51"/>
      <c r="AO264" s="51"/>
      <c r="AP264" s="51"/>
      <c r="AQ264" s="51"/>
      <c r="AR264" s="51"/>
      <c r="AS264" s="51"/>
      <c r="AT264" s="51"/>
      <c r="AU264" s="51"/>
      <c r="AV264" s="51"/>
      <c r="AW264" s="51"/>
      <c r="AX264" s="51"/>
      <c r="AY264" s="51"/>
      <c r="AZ264" s="51"/>
      <c r="BA264" s="51"/>
      <c r="BB264" s="51"/>
      <c r="BC264" s="51"/>
      <c r="BD264" s="51"/>
      <c r="BE264" s="51"/>
      <c r="BF264" s="51"/>
      <c r="BG264" s="51"/>
      <c r="BH264" s="51"/>
      <c r="BI264" s="51"/>
      <c r="BJ264" s="51"/>
      <c r="BK264" s="51"/>
      <c r="BL264" s="51"/>
      <c r="BM264" s="51"/>
      <c r="BN264" s="51"/>
      <c r="BO264" s="51"/>
      <c r="BP264" s="51"/>
      <c r="BQ264" s="51"/>
      <c r="BR264" s="51"/>
      <c r="BS264" s="51"/>
      <c r="BT264" s="51"/>
      <c r="BU264" s="51"/>
      <c r="BV264" s="51"/>
      <c r="BW264" s="51"/>
      <c r="BX264" s="51"/>
      <c r="BY264" s="51"/>
      <c r="BZ264" s="51"/>
      <c r="CA264" s="51"/>
      <c r="CB264" s="51"/>
      <c r="CC264" s="51"/>
      <c r="CD264" s="51"/>
      <c r="CE264" s="51"/>
      <c r="CF264" s="51"/>
      <c r="CG264" s="51"/>
      <c r="CH264" s="51"/>
      <c r="CI264" s="51"/>
      <c r="CJ264" s="51"/>
      <c r="CK264" s="51"/>
      <c r="CL264" s="51"/>
      <c r="CM264" s="51"/>
      <c r="CN264" s="51"/>
      <c r="CO264" s="51"/>
      <c r="CP264" s="51"/>
      <c r="CQ264" s="51"/>
      <c r="CR264" s="51"/>
      <c r="CS264" s="51"/>
      <c r="CT264" s="42" t="str">
        <f>IFERROR(('基本数据输入&amp;测算结果'!$C$19*7-AVERAGE(J264:AK264)*7-'基本数据输入&amp;测算结果'!$C$23*7)/'基本数据输入&amp;测算结果'!$C$21*'基本数据输入&amp;测算结果'!$C$22,"无数据/数据缺失")</f>
        <v>无数据/数据缺失</v>
      </c>
      <c r="CU264" s="42">
        <f>IF(CT264&lt;0,0,IF(CT264="无数据/数据缺失",0%,IF(CT264&gt;'基本数据输入&amp;测算结果'!$C$20,100%,CT264/'基本数据输入&amp;测算结果'!$C$20)))</f>
        <v>0</v>
      </c>
      <c r="CV264" s="42" t="str">
        <f>IFERROR((AVERAGE(AL264:AS264)*2-'基本数据输入&amp;测算结果'!$C$24*2)/'基本数据输入&amp;测算结果'!$C$21/'基本数据输入&amp;测算结果'!$C$22,"无数据/数据缺失")</f>
        <v>无数据/数据缺失</v>
      </c>
      <c r="CW264" s="42">
        <f>IF(CV264&lt;0,0,IF(CV264="无数据/数据缺失",0%,IF(CV264&gt;'基本数据输入&amp;测算结果'!$C$20*CU264,CU264,CV264/'基本数据输入&amp;测算结果'!$C$20*CU264)))</f>
        <v>0</v>
      </c>
      <c r="CX264" s="42" t="str">
        <f>IFERROR(('基本数据输入&amp;测算结果'!$C$19*2-AVERAGE(AT264:BA264)*2-'基本数据输入&amp;测算结果'!$C$23*2)/'基本数据输入&amp;测算结果'!$C$21*'基本数据输入&amp;测算结果'!$C$22,"无数据/数据缺失")</f>
        <v>无数据/数据缺失</v>
      </c>
      <c r="CY264" s="42">
        <f>IF(CX264&lt;0,0,IF(CX264="无数据/数据缺失",0%,IF(CX264&gt;'基本数据输入&amp;测算结果'!$C$20,100%,CX264/'基本数据输入&amp;测算结果'!$C$20)))</f>
        <v>0</v>
      </c>
      <c r="CZ264" s="42" t="str">
        <f>IFERROR((AVERAGE(BN264:CS264)*8-'基本数据输入&amp;测算结果'!$C$24*8)/'基本数据输入&amp;测算结果'!$C$21/'基本数据输入&amp;测算结果'!$C$22,"无数据/数据缺失")</f>
        <v>无数据/数据缺失</v>
      </c>
      <c r="DA264" s="42">
        <f>IF(CZ264&lt;0,0,IF(CZ264="无数据/数据缺失",0,IF('基本数据输入&amp;测算结果'!$C$20*CY264&gt;CZ264,CZ264/'基本数据输入&amp;测算结果'!$C$20*CY264,CY264)))</f>
        <v>0</v>
      </c>
      <c r="DB264" s="49">
        <f t="shared" si="12"/>
        <v>0</v>
      </c>
      <c r="DC264" s="50"/>
      <c r="DD264" s="50"/>
    </row>
    <row r="265" customHeight="1" spans="1:108">
      <c r="A265" s="54" t="s">
        <v>319</v>
      </c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  <c r="AH265" s="51"/>
      <c r="AI265" s="51"/>
      <c r="AJ265" s="51"/>
      <c r="AK265" s="51"/>
      <c r="AL265" s="51"/>
      <c r="AM265" s="51"/>
      <c r="AN265" s="51"/>
      <c r="AO265" s="51"/>
      <c r="AP265" s="51"/>
      <c r="AQ265" s="51"/>
      <c r="AR265" s="51"/>
      <c r="AS265" s="51"/>
      <c r="AT265" s="51"/>
      <c r="AU265" s="51"/>
      <c r="AV265" s="51"/>
      <c r="AW265" s="51"/>
      <c r="AX265" s="51"/>
      <c r="AY265" s="51"/>
      <c r="AZ265" s="51"/>
      <c r="BA265" s="51"/>
      <c r="BB265" s="51"/>
      <c r="BC265" s="51"/>
      <c r="BD265" s="51"/>
      <c r="BE265" s="51"/>
      <c r="BF265" s="51"/>
      <c r="BG265" s="51"/>
      <c r="BH265" s="51"/>
      <c r="BI265" s="51"/>
      <c r="BJ265" s="51"/>
      <c r="BK265" s="51"/>
      <c r="BL265" s="51"/>
      <c r="BM265" s="51"/>
      <c r="BN265" s="51"/>
      <c r="BO265" s="51"/>
      <c r="BP265" s="51"/>
      <c r="BQ265" s="51"/>
      <c r="BR265" s="51"/>
      <c r="BS265" s="51"/>
      <c r="BT265" s="51"/>
      <c r="BU265" s="51"/>
      <c r="BV265" s="51"/>
      <c r="BW265" s="51"/>
      <c r="BX265" s="51"/>
      <c r="BY265" s="51"/>
      <c r="BZ265" s="51"/>
      <c r="CA265" s="51"/>
      <c r="CB265" s="51"/>
      <c r="CC265" s="51"/>
      <c r="CD265" s="51"/>
      <c r="CE265" s="51"/>
      <c r="CF265" s="51"/>
      <c r="CG265" s="51"/>
      <c r="CH265" s="51"/>
      <c r="CI265" s="51"/>
      <c r="CJ265" s="51"/>
      <c r="CK265" s="51"/>
      <c r="CL265" s="51"/>
      <c r="CM265" s="51"/>
      <c r="CN265" s="51"/>
      <c r="CO265" s="51"/>
      <c r="CP265" s="51"/>
      <c r="CQ265" s="51"/>
      <c r="CR265" s="51"/>
      <c r="CS265" s="51"/>
      <c r="CT265" s="42" t="str">
        <f>IFERROR(('基本数据输入&amp;测算结果'!$C$19*7-AVERAGE(J265:AK265)*7-'基本数据输入&amp;测算结果'!$C$23*7)/'基本数据输入&amp;测算结果'!$C$21*'基本数据输入&amp;测算结果'!$C$22,"无数据/数据缺失")</f>
        <v>无数据/数据缺失</v>
      </c>
      <c r="CU265" s="42">
        <f>IF(CT265&lt;0,0,IF(CT265="无数据/数据缺失",0%,IF(CT265&gt;'基本数据输入&amp;测算结果'!$C$20,100%,CT265/'基本数据输入&amp;测算结果'!$C$20)))</f>
        <v>0</v>
      </c>
      <c r="CV265" s="42" t="str">
        <f>IFERROR((AVERAGE(AL265:AS265)*2-'基本数据输入&amp;测算结果'!$C$24*2)/'基本数据输入&amp;测算结果'!$C$21/'基本数据输入&amp;测算结果'!$C$22,"无数据/数据缺失")</f>
        <v>无数据/数据缺失</v>
      </c>
      <c r="CW265" s="42">
        <f>IF(CV265&lt;0,0,IF(CV265="无数据/数据缺失",0%,IF(CV265&gt;'基本数据输入&amp;测算结果'!$C$20*CU265,CU265,CV265/'基本数据输入&amp;测算结果'!$C$20*CU265)))</f>
        <v>0</v>
      </c>
      <c r="CX265" s="42" t="str">
        <f>IFERROR(('基本数据输入&amp;测算结果'!$C$19*2-AVERAGE(AT265:BA265)*2-'基本数据输入&amp;测算结果'!$C$23*2)/'基本数据输入&amp;测算结果'!$C$21*'基本数据输入&amp;测算结果'!$C$22,"无数据/数据缺失")</f>
        <v>无数据/数据缺失</v>
      </c>
      <c r="CY265" s="42">
        <f>IF(CX265&lt;0,0,IF(CX265="无数据/数据缺失",0%,IF(CX265&gt;'基本数据输入&amp;测算结果'!$C$20,100%,CX265/'基本数据输入&amp;测算结果'!$C$20)))</f>
        <v>0</v>
      </c>
      <c r="CZ265" s="42" t="str">
        <f>IFERROR((AVERAGE(BN265:CS265)*8-'基本数据输入&amp;测算结果'!$C$24*8)/'基本数据输入&amp;测算结果'!$C$21/'基本数据输入&amp;测算结果'!$C$22,"无数据/数据缺失")</f>
        <v>无数据/数据缺失</v>
      </c>
      <c r="DA265" s="42">
        <f>IF(CZ265&lt;0,0,IF(CZ265="无数据/数据缺失",0,IF('基本数据输入&amp;测算结果'!$C$20*CY265&gt;CZ265,CZ265/'基本数据输入&amp;测算结果'!$C$20*CY265,CY265)))</f>
        <v>0</v>
      </c>
      <c r="DB265" s="49">
        <f t="shared" si="12"/>
        <v>0</v>
      </c>
      <c r="DC265" s="50"/>
      <c r="DD265" s="50"/>
    </row>
    <row r="266" customHeight="1" spans="1:108">
      <c r="A266" s="54" t="s">
        <v>320</v>
      </c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1"/>
      <c r="AI266" s="51"/>
      <c r="AJ266" s="51"/>
      <c r="AK266" s="51"/>
      <c r="AL266" s="51"/>
      <c r="AM266" s="51"/>
      <c r="AN266" s="51"/>
      <c r="AO266" s="51"/>
      <c r="AP266" s="51"/>
      <c r="AQ266" s="51"/>
      <c r="AR266" s="51"/>
      <c r="AS266" s="51"/>
      <c r="AT266" s="51"/>
      <c r="AU266" s="51"/>
      <c r="AV266" s="51"/>
      <c r="AW266" s="51"/>
      <c r="AX266" s="51"/>
      <c r="AY266" s="51"/>
      <c r="AZ266" s="51"/>
      <c r="BA266" s="51"/>
      <c r="BB266" s="51"/>
      <c r="BC266" s="51"/>
      <c r="BD266" s="51"/>
      <c r="BE266" s="51"/>
      <c r="BF266" s="51"/>
      <c r="BG266" s="51"/>
      <c r="BH266" s="51"/>
      <c r="BI266" s="51"/>
      <c r="BJ266" s="51"/>
      <c r="BK266" s="51"/>
      <c r="BL266" s="51"/>
      <c r="BM266" s="51"/>
      <c r="BN266" s="51"/>
      <c r="BO266" s="51"/>
      <c r="BP266" s="51"/>
      <c r="BQ266" s="51"/>
      <c r="BR266" s="51"/>
      <c r="BS266" s="51"/>
      <c r="BT266" s="51"/>
      <c r="BU266" s="51"/>
      <c r="BV266" s="51"/>
      <c r="BW266" s="51"/>
      <c r="BX266" s="51"/>
      <c r="BY266" s="51"/>
      <c r="BZ266" s="51"/>
      <c r="CA266" s="51"/>
      <c r="CB266" s="51"/>
      <c r="CC266" s="51"/>
      <c r="CD266" s="51"/>
      <c r="CE266" s="51"/>
      <c r="CF266" s="51"/>
      <c r="CG266" s="51"/>
      <c r="CH266" s="51"/>
      <c r="CI266" s="51"/>
      <c r="CJ266" s="51"/>
      <c r="CK266" s="51"/>
      <c r="CL266" s="51"/>
      <c r="CM266" s="51"/>
      <c r="CN266" s="51"/>
      <c r="CO266" s="51"/>
      <c r="CP266" s="51"/>
      <c r="CQ266" s="51"/>
      <c r="CR266" s="51"/>
      <c r="CS266" s="51"/>
      <c r="CT266" s="42" t="str">
        <f>IFERROR(('基本数据输入&amp;测算结果'!$C$19*7-AVERAGE(J266:AK266)*7-'基本数据输入&amp;测算结果'!$C$23*7)/'基本数据输入&amp;测算结果'!$C$21*'基本数据输入&amp;测算结果'!$C$22,"无数据/数据缺失")</f>
        <v>无数据/数据缺失</v>
      </c>
      <c r="CU266" s="42">
        <f>IF(CT266&lt;0,0,IF(CT266="无数据/数据缺失",0%,IF(CT266&gt;'基本数据输入&amp;测算结果'!$C$20,100%,CT266/'基本数据输入&amp;测算结果'!$C$20)))</f>
        <v>0</v>
      </c>
      <c r="CV266" s="42" t="str">
        <f>IFERROR((AVERAGE(AL266:AS266)*2-'基本数据输入&amp;测算结果'!$C$24*2)/'基本数据输入&amp;测算结果'!$C$21/'基本数据输入&amp;测算结果'!$C$22,"无数据/数据缺失")</f>
        <v>无数据/数据缺失</v>
      </c>
      <c r="CW266" s="42">
        <f>IF(CV266&lt;0,0,IF(CV266="无数据/数据缺失",0%,IF(CV266&gt;'基本数据输入&amp;测算结果'!$C$20*CU266,CU266,CV266/'基本数据输入&amp;测算结果'!$C$20*CU266)))</f>
        <v>0</v>
      </c>
      <c r="CX266" s="42" t="str">
        <f>IFERROR(('基本数据输入&amp;测算结果'!$C$19*2-AVERAGE(AT266:BA266)*2-'基本数据输入&amp;测算结果'!$C$23*2)/'基本数据输入&amp;测算结果'!$C$21*'基本数据输入&amp;测算结果'!$C$22,"无数据/数据缺失")</f>
        <v>无数据/数据缺失</v>
      </c>
      <c r="CY266" s="42">
        <f>IF(CX266&lt;0,0,IF(CX266="无数据/数据缺失",0%,IF(CX266&gt;'基本数据输入&amp;测算结果'!$C$20,100%,CX266/'基本数据输入&amp;测算结果'!$C$20)))</f>
        <v>0</v>
      </c>
      <c r="CZ266" s="42" t="str">
        <f>IFERROR((AVERAGE(BN266:CS266)*8-'基本数据输入&amp;测算结果'!$C$24*8)/'基本数据输入&amp;测算结果'!$C$21/'基本数据输入&amp;测算结果'!$C$22,"无数据/数据缺失")</f>
        <v>无数据/数据缺失</v>
      </c>
      <c r="DA266" s="42">
        <f>IF(CZ266&lt;0,0,IF(CZ266="无数据/数据缺失",0,IF('基本数据输入&amp;测算结果'!$C$20*CY266&gt;CZ266,CZ266/'基本数据输入&amp;测算结果'!$C$20*CY266,CY266)))</f>
        <v>0</v>
      </c>
      <c r="DB266" s="49">
        <f t="shared" si="12"/>
        <v>0</v>
      </c>
      <c r="DC266" s="50"/>
      <c r="DD266" s="50"/>
    </row>
    <row r="267" customHeight="1" spans="1:108">
      <c r="A267" s="54" t="s">
        <v>321</v>
      </c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1"/>
      <c r="AM267" s="51"/>
      <c r="AN267" s="51"/>
      <c r="AO267" s="51"/>
      <c r="AP267" s="51"/>
      <c r="AQ267" s="51"/>
      <c r="AR267" s="51"/>
      <c r="AS267" s="51"/>
      <c r="AT267" s="51"/>
      <c r="AU267" s="51"/>
      <c r="AV267" s="51"/>
      <c r="AW267" s="51"/>
      <c r="AX267" s="51"/>
      <c r="AY267" s="51"/>
      <c r="AZ267" s="51"/>
      <c r="BA267" s="51"/>
      <c r="BB267" s="51"/>
      <c r="BC267" s="51"/>
      <c r="BD267" s="51"/>
      <c r="BE267" s="51"/>
      <c r="BF267" s="51"/>
      <c r="BG267" s="51"/>
      <c r="BH267" s="51"/>
      <c r="BI267" s="51"/>
      <c r="BJ267" s="51"/>
      <c r="BK267" s="51"/>
      <c r="BL267" s="51"/>
      <c r="BM267" s="51"/>
      <c r="BN267" s="51"/>
      <c r="BO267" s="51"/>
      <c r="BP267" s="51"/>
      <c r="BQ267" s="51"/>
      <c r="BR267" s="51"/>
      <c r="BS267" s="51"/>
      <c r="BT267" s="51"/>
      <c r="BU267" s="51"/>
      <c r="BV267" s="51"/>
      <c r="BW267" s="51"/>
      <c r="BX267" s="51"/>
      <c r="BY267" s="51"/>
      <c r="BZ267" s="51"/>
      <c r="CA267" s="51"/>
      <c r="CB267" s="51"/>
      <c r="CC267" s="51"/>
      <c r="CD267" s="51"/>
      <c r="CE267" s="51"/>
      <c r="CF267" s="51"/>
      <c r="CG267" s="51"/>
      <c r="CH267" s="51"/>
      <c r="CI267" s="51"/>
      <c r="CJ267" s="51"/>
      <c r="CK267" s="51"/>
      <c r="CL267" s="51"/>
      <c r="CM267" s="51"/>
      <c r="CN267" s="51"/>
      <c r="CO267" s="51"/>
      <c r="CP267" s="51"/>
      <c r="CQ267" s="51"/>
      <c r="CR267" s="51"/>
      <c r="CS267" s="51"/>
      <c r="CT267" s="42" t="str">
        <f>IFERROR(('基本数据输入&amp;测算结果'!$C$19*7-AVERAGE(J267:AK267)*7-'基本数据输入&amp;测算结果'!$C$23*7)/'基本数据输入&amp;测算结果'!$C$21*'基本数据输入&amp;测算结果'!$C$22,"无数据/数据缺失")</f>
        <v>无数据/数据缺失</v>
      </c>
      <c r="CU267" s="42">
        <f>IF(CT267&lt;0,0,IF(CT267="无数据/数据缺失",0%,IF(CT267&gt;'基本数据输入&amp;测算结果'!$C$20,100%,CT267/'基本数据输入&amp;测算结果'!$C$20)))</f>
        <v>0</v>
      </c>
      <c r="CV267" s="42" t="str">
        <f>IFERROR((AVERAGE(AL267:AS267)*2-'基本数据输入&amp;测算结果'!$C$24*2)/'基本数据输入&amp;测算结果'!$C$21/'基本数据输入&amp;测算结果'!$C$22,"无数据/数据缺失")</f>
        <v>无数据/数据缺失</v>
      </c>
      <c r="CW267" s="42">
        <f>IF(CV267&lt;0,0,IF(CV267="无数据/数据缺失",0%,IF(CV267&gt;'基本数据输入&amp;测算结果'!$C$20*CU267,CU267,CV267/'基本数据输入&amp;测算结果'!$C$20*CU267)))</f>
        <v>0</v>
      </c>
      <c r="CX267" s="42" t="str">
        <f>IFERROR(('基本数据输入&amp;测算结果'!$C$19*2-AVERAGE(AT267:BA267)*2-'基本数据输入&amp;测算结果'!$C$23*2)/'基本数据输入&amp;测算结果'!$C$21*'基本数据输入&amp;测算结果'!$C$22,"无数据/数据缺失")</f>
        <v>无数据/数据缺失</v>
      </c>
      <c r="CY267" s="42">
        <f>IF(CX267&lt;0,0,IF(CX267="无数据/数据缺失",0%,IF(CX267&gt;'基本数据输入&amp;测算结果'!$C$20,100%,CX267/'基本数据输入&amp;测算结果'!$C$20)))</f>
        <v>0</v>
      </c>
      <c r="CZ267" s="42" t="str">
        <f>IFERROR((AVERAGE(BN267:CS267)*8-'基本数据输入&amp;测算结果'!$C$24*8)/'基本数据输入&amp;测算结果'!$C$21/'基本数据输入&amp;测算结果'!$C$22,"无数据/数据缺失")</f>
        <v>无数据/数据缺失</v>
      </c>
      <c r="DA267" s="42">
        <f>IF(CZ267&lt;0,0,IF(CZ267="无数据/数据缺失",0,IF('基本数据输入&amp;测算结果'!$C$20*CY267&gt;CZ267,CZ267/'基本数据输入&amp;测算结果'!$C$20*CY267,CY267)))</f>
        <v>0</v>
      </c>
      <c r="DB267" s="49">
        <f t="shared" si="12"/>
        <v>0</v>
      </c>
      <c r="DC267" s="50"/>
      <c r="DD267" s="50"/>
    </row>
    <row r="268" customHeight="1" spans="1:108">
      <c r="A268" s="54" t="s">
        <v>322</v>
      </c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1"/>
      <c r="AM268" s="51"/>
      <c r="AN268" s="51"/>
      <c r="AO268" s="51"/>
      <c r="AP268" s="51"/>
      <c r="AQ268" s="51"/>
      <c r="AR268" s="51"/>
      <c r="AS268" s="51"/>
      <c r="AT268" s="51"/>
      <c r="AU268" s="51"/>
      <c r="AV268" s="51"/>
      <c r="AW268" s="51"/>
      <c r="AX268" s="51"/>
      <c r="AY268" s="51"/>
      <c r="AZ268" s="51"/>
      <c r="BA268" s="51"/>
      <c r="BB268" s="51"/>
      <c r="BC268" s="51"/>
      <c r="BD268" s="51"/>
      <c r="BE268" s="51"/>
      <c r="BF268" s="51"/>
      <c r="BG268" s="51"/>
      <c r="BH268" s="51"/>
      <c r="BI268" s="51"/>
      <c r="BJ268" s="51"/>
      <c r="BK268" s="51"/>
      <c r="BL268" s="51"/>
      <c r="BM268" s="51"/>
      <c r="BN268" s="51"/>
      <c r="BO268" s="51"/>
      <c r="BP268" s="51"/>
      <c r="BQ268" s="51"/>
      <c r="BR268" s="51"/>
      <c r="BS268" s="51"/>
      <c r="BT268" s="51"/>
      <c r="BU268" s="51"/>
      <c r="BV268" s="51"/>
      <c r="BW268" s="51"/>
      <c r="BX268" s="51"/>
      <c r="BY268" s="51"/>
      <c r="BZ268" s="51"/>
      <c r="CA268" s="51"/>
      <c r="CB268" s="51"/>
      <c r="CC268" s="51"/>
      <c r="CD268" s="51"/>
      <c r="CE268" s="51"/>
      <c r="CF268" s="51"/>
      <c r="CG268" s="51"/>
      <c r="CH268" s="51"/>
      <c r="CI268" s="51"/>
      <c r="CJ268" s="51"/>
      <c r="CK268" s="51"/>
      <c r="CL268" s="51"/>
      <c r="CM268" s="51"/>
      <c r="CN268" s="51"/>
      <c r="CO268" s="51"/>
      <c r="CP268" s="51"/>
      <c r="CQ268" s="51"/>
      <c r="CR268" s="51"/>
      <c r="CS268" s="51"/>
      <c r="CT268" s="42" t="str">
        <f>IFERROR(('基本数据输入&amp;测算结果'!$C$19*7-AVERAGE(J268:AK268)*7-'基本数据输入&amp;测算结果'!$C$23*7)/'基本数据输入&amp;测算结果'!$C$21*'基本数据输入&amp;测算结果'!$C$22,"无数据/数据缺失")</f>
        <v>无数据/数据缺失</v>
      </c>
      <c r="CU268" s="42">
        <f>IF(CT268&lt;0,0,IF(CT268="无数据/数据缺失",0%,IF(CT268&gt;'基本数据输入&amp;测算结果'!$C$20,100%,CT268/'基本数据输入&amp;测算结果'!$C$20)))</f>
        <v>0</v>
      </c>
      <c r="CV268" s="42" t="str">
        <f>IFERROR((AVERAGE(AL268:AS268)*2-'基本数据输入&amp;测算结果'!$C$24*2)/'基本数据输入&amp;测算结果'!$C$21/'基本数据输入&amp;测算结果'!$C$22,"无数据/数据缺失")</f>
        <v>无数据/数据缺失</v>
      </c>
      <c r="CW268" s="42">
        <f>IF(CV268&lt;0,0,IF(CV268="无数据/数据缺失",0%,IF(CV268&gt;'基本数据输入&amp;测算结果'!$C$20*CU268,CU268,CV268/'基本数据输入&amp;测算结果'!$C$20*CU268)))</f>
        <v>0</v>
      </c>
      <c r="CX268" s="42" t="str">
        <f>IFERROR(('基本数据输入&amp;测算结果'!$C$19*2-AVERAGE(AT268:BA268)*2-'基本数据输入&amp;测算结果'!$C$23*2)/'基本数据输入&amp;测算结果'!$C$21*'基本数据输入&amp;测算结果'!$C$22,"无数据/数据缺失")</f>
        <v>无数据/数据缺失</v>
      </c>
      <c r="CY268" s="42">
        <f>IF(CX268&lt;0,0,IF(CX268="无数据/数据缺失",0%,IF(CX268&gt;'基本数据输入&amp;测算结果'!$C$20,100%,CX268/'基本数据输入&amp;测算结果'!$C$20)))</f>
        <v>0</v>
      </c>
      <c r="CZ268" s="42" t="str">
        <f>IFERROR((AVERAGE(BN268:CS268)*8-'基本数据输入&amp;测算结果'!$C$24*8)/'基本数据输入&amp;测算结果'!$C$21/'基本数据输入&amp;测算结果'!$C$22,"无数据/数据缺失")</f>
        <v>无数据/数据缺失</v>
      </c>
      <c r="DA268" s="42">
        <f>IF(CZ268&lt;0,0,IF(CZ268="无数据/数据缺失",0,IF('基本数据输入&amp;测算结果'!$C$20*CY268&gt;CZ268,CZ268/'基本数据输入&amp;测算结果'!$C$20*CY268,CY268)))</f>
        <v>0</v>
      </c>
      <c r="DB268" s="49">
        <f t="shared" si="12"/>
        <v>0</v>
      </c>
      <c r="DC268" s="50"/>
      <c r="DD268" s="50"/>
    </row>
    <row r="269" customHeight="1" spans="1:108">
      <c r="A269" s="54" t="s">
        <v>323</v>
      </c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  <c r="AK269" s="51"/>
      <c r="AL269" s="51"/>
      <c r="AM269" s="51"/>
      <c r="AN269" s="51"/>
      <c r="AO269" s="51"/>
      <c r="AP269" s="51"/>
      <c r="AQ269" s="51"/>
      <c r="AR269" s="51"/>
      <c r="AS269" s="51"/>
      <c r="AT269" s="51"/>
      <c r="AU269" s="51"/>
      <c r="AV269" s="51"/>
      <c r="AW269" s="51"/>
      <c r="AX269" s="51"/>
      <c r="AY269" s="51"/>
      <c r="AZ269" s="51"/>
      <c r="BA269" s="51"/>
      <c r="BB269" s="51"/>
      <c r="BC269" s="51"/>
      <c r="BD269" s="51"/>
      <c r="BE269" s="51"/>
      <c r="BF269" s="51"/>
      <c r="BG269" s="51"/>
      <c r="BH269" s="51"/>
      <c r="BI269" s="51"/>
      <c r="BJ269" s="51"/>
      <c r="BK269" s="51"/>
      <c r="BL269" s="51"/>
      <c r="BM269" s="51"/>
      <c r="BN269" s="51"/>
      <c r="BO269" s="51"/>
      <c r="BP269" s="51"/>
      <c r="BQ269" s="51"/>
      <c r="BR269" s="51"/>
      <c r="BS269" s="51"/>
      <c r="BT269" s="51"/>
      <c r="BU269" s="51"/>
      <c r="BV269" s="51"/>
      <c r="BW269" s="51"/>
      <c r="BX269" s="51"/>
      <c r="BY269" s="51"/>
      <c r="BZ269" s="51"/>
      <c r="CA269" s="51"/>
      <c r="CB269" s="51"/>
      <c r="CC269" s="51"/>
      <c r="CD269" s="51"/>
      <c r="CE269" s="51"/>
      <c r="CF269" s="51"/>
      <c r="CG269" s="51"/>
      <c r="CH269" s="51"/>
      <c r="CI269" s="51"/>
      <c r="CJ269" s="51"/>
      <c r="CK269" s="51"/>
      <c r="CL269" s="51"/>
      <c r="CM269" s="51"/>
      <c r="CN269" s="51"/>
      <c r="CO269" s="51"/>
      <c r="CP269" s="51"/>
      <c r="CQ269" s="51"/>
      <c r="CR269" s="51"/>
      <c r="CS269" s="51"/>
      <c r="CT269" s="42" t="str">
        <f>IFERROR(('基本数据输入&amp;测算结果'!$C$19*7-AVERAGE(J269:AK269)*7-'基本数据输入&amp;测算结果'!$C$23*7)/'基本数据输入&amp;测算结果'!$C$21*'基本数据输入&amp;测算结果'!$C$22,"无数据/数据缺失")</f>
        <v>无数据/数据缺失</v>
      </c>
      <c r="CU269" s="42">
        <f>IF(CT269&lt;0,0,IF(CT269="无数据/数据缺失",0%,IF(CT269&gt;'基本数据输入&amp;测算结果'!$C$20,100%,CT269/'基本数据输入&amp;测算结果'!$C$20)))</f>
        <v>0</v>
      </c>
      <c r="CV269" s="42" t="str">
        <f>IFERROR((AVERAGE(AL269:AS269)*2-'基本数据输入&amp;测算结果'!$C$24*2)/'基本数据输入&amp;测算结果'!$C$21/'基本数据输入&amp;测算结果'!$C$22,"无数据/数据缺失")</f>
        <v>无数据/数据缺失</v>
      </c>
      <c r="CW269" s="42">
        <f>IF(CV269&lt;0,0,IF(CV269="无数据/数据缺失",0%,IF(CV269&gt;'基本数据输入&amp;测算结果'!$C$20*CU269,CU269,CV269/'基本数据输入&amp;测算结果'!$C$20*CU269)))</f>
        <v>0</v>
      </c>
      <c r="CX269" s="42" t="str">
        <f>IFERROR(('基本数据输入&amp;测算结果'!$C$19*2-AVERAGE(AT269:BA269)*2-'基本数据输入&amp;测算结果'!$C$23*2)/'基本数据输入&amp;测算结果'!$C$21*'基本数据输入&amp;测算结果'!$C$22,"无数据/数据缺失")</f>
        <v>无数据/数据缺失</v>
      </c>
      <c r="CY269" s="42">
        <f>IF(CX269&lt;0,0,IF(CX269="无数据/数据缺失",0%,IF(CX269&gt;'基本数据输入&amp;测算结果'!$C$20,100%,CX269/'基本数据输入&amp;测算结果'!$C$20)))</f>
        <v>0</v>
      </c>
      <c r="CZ269" s="42" t="str">
        <f>IFERROR((AVERAGE(BN269:CS269)*8-'基本数据输入&amp;测算结果'!$C$24*8)/'基本数据输入&amp;测算结果'!$C$21/'基本数据输入&amp;测算结果'!$C$22,"无数据/数据缺失")</f>
        <v>无数据/数据缺失</v>
      </c>
      <c r="DA269" s="42">
        <f>IF(CZ269&lt;0,0,IF(CZ269="无数据/数据缺失",0,IF('基本数据输入&amp;测算结果'!$C$20*CY269&gt;CZ269,CZ269/'基本数据输入&amp;测算结果'!$C$20*CY269,CY269)))</f>
        <v>0</v>
      </c>
      <c r="DB269" s="49">
        <f t="shared" si="12"/>
        <v>0</v>
      </c>
      <c r="DC269" s="50"/>
      <c r="DD269" s="50"/>
    </row>
    <row r="270" customHeight="1" spans="1:108">
      <c r="A270" s="54" t="s">
        <v>324</v>
      </c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  <c r="AN270" s="51"/>
      <c r="AO270" s="51"/>
      <c r="AP270" s="51"/>
      <c r="AQ270" s="51"/>
      <c r="AR270" s="51"/>
      <c r="AS270" s="51"/>
      <c r="AT270" s="51"/>
      <c r="AU270" s="51"/>
      <c r="AV270" s="51"/>
      <c r="AW270" s="51"/>
      <c r="AX270" s="51"/>
      <c r="AY270" s="51"/>
      <c r="AZ270" s="51"/>
      <c r="BA270" s="51"/>
      <c r="BB270" s="51"/>
      <c r="BC270" s="51"/>
      <c r="BD270" s="51"/>
      <c r="BE270" s="51"/>
      <c r="BF270" s="51"/>
      <c r="BG270" s="51"/>
      <c r="BH270" s="51"/>
      <c r="BI270" s="51"/>
      <c r="BJ270" s="51"/>
      <c r="BK270" s="51"/>
      <c r="BL270" s="51"/>
      <c r="BM270" s="51"/>
      <c r="BN270" s="51"/>
      <c r="BO270" s="51"/>
      <c r="BP270" s="51"/>
      <c r="BQ270" s="51"/>
      <c r="BR270" s="51"/>
      <c r="BS270" s="51"/>
      <c r="BT270" s="51"/>
      <c r="BU270" s="51"/>
      <c r="BV270" s="51"/>
      <c r="BW270" s="51"/>
      <c r="BX270" s="51"/>
      <c r="BY270" s="51"/>
      <c r="BZ270" s="51"/>
      <c r="CA270" s="51"/>
      <c r="CB270" s="51"/>
      <c r="CC270" s="51"/>
      <c r="CD270" s="51"/>
      <c r="CE270" s="51"/>
      <c r="CF270" s="51"/>
      <c r="CG270" s="51"/>
      <c r="CH270" s="51"/>
      <c r="CI270" s="51"/>
      <c r="CJ270" s="51"/>
      <c r="CK270" s="51"/>
      <c r="CL270" s="51"/>
      <c r="CM270" s="51"/>
      <c r="CN270" s="51"/>
      <c r="CO270" s="51"/>
      <c r="CP270" s="51"/>
      <c r="CQ270" s="51"/>
      <c r="CR270" s="51"/>
      <c r="CS270" s="51"/>
      <c r="CT270" s="42" t="str">
        <f>IFERROR(('基本数据输入&amp;测算结果'!$C$19*7-AVERAGE(J270:AK270)*7-'基本数据输入&amp;测算结果'!$C$23*7)/'基本数据输入&amp;测算结果'!$C$21*'基本数据输入&amp;测算结果'!$C$22,"无数据/数据缺失")</f>
        <v>无数据/数据缺失</v>
      </c>
      <c r="CU270" s="42">
        <f>IF(CT270&lt;0,0,IF(CT270="无数据/数据缺失",0%,IF(CT270&gt;'基本数据输入&amp;测算结果'!$C$20,100%,CT270/'基本数据输入&amp;测算结果'!$C$20)))</f>
        <v>0</v>
      </c>
      <c r="CV270" s="42" t="str">
        <f>IFERROR((AVERAGE(AL270:AS270)*2-'基本数据输入&amp;测算结果'!$C$24*2)/'基本数据输入&amp;测算结果'!$C$21/'基本数据输入&amp;测算结果'!$C$22,"无数据/数据缺失")</f>
        <v>无数据/数据缺失</v>
      </c>
      <c r="CW270" s="42">
        <f>IF(CV270&lt;0,0,IF(CV270="无数据/数据缺失",0%,IF(CV270&gt;'基本数据输入&amp;测算结果'!$C$20*CU270,CU270,CV270/'基本数据输入&amp;测算结果'!$C$20*CU270)))</f>
        <v>0</v>
      </c>
      <c r="CX270" s="42" t="str">
        <f>IFERROR(('基本数据输入&amp;测算结果'!$C$19*2-AVERAGE(AT270:BA270)*2-'基本数据输入&amp;测算结果'!$C$23*2)/'基本数据输入&amp;测算结果'!$C$21*'基本数据输入&amp;测算结果'!$C$22,"无数据/数据缺失")</f>
        <v>无数据/数据缺失</v>
      </c>
      <c r="CY270" s="42">
        <f>IF(CX270&lt;0,0,IF(CX270="无数据/数据缺失",0%,IF(CX270&gt;'基本数据输入&amp;测算结果'!$C$20,100%,CX270/'基本数据输入&amp;测算结果'!$C$20)))</f>
        <v>0</v>
      </c>
      <c r="CZ270" s="42" t="str">
        <f>IFERROR((AVERAGE(BN270:CS270)*8-'基本数据输入&amp;测算结果'!$C$24*8)/'基本数据输入&amp;测算结果'!$C$21/'基本数据输入&amp;测算结果'!$C$22,"无数据/数据缺失")</f>
        <v>无数据/数据缺失</v>
      </c>
      <c r="DA270" s="42">
        <f>IF(CZ270&lt;0,0,IF(CZ270="无数据/数据缺失",0,IF('基本数据输入&amp;测算结果'!$C$20*CY270&gt;CZ270,CZ270/'基本数据输入&amp;测算结果'!$C$20*CY270,CY270)))</f>
        <v>0</v>
      </c>
      <c r="DB270" s="49">
        <f t="shared" si="12"/>
        <v>0</v>
      </c>
      <c r="DC270" s="50"/>
      <c r="DD270" s="50"/>
    </row>
    <row r="271" customHeight="1" spans="1:108">
      <c r="A271" s="54" t="s">
        <v>325</v>
      </c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  <c r="AI271" s="51"/>
      <c r="AJ271" s="51"/>
      <c r="AK271" s="51"/>
      <c r="AL271" s="51"/>
      <c r="AM271" s="51"/>
      <c r="AN271" s="51"/>
      <c r="AO271" s="51"/>
      <c r="AP271" s="51"/>
      <c r="AQ271" s="51"/>
      <c r="AR271" s="51"/>
      <c r="AS271" s="51"/>
      <c r="AT271" s="51"/>
      <c r="AU271" s="51"/>
      <c r="AV271" s="51"/>
      <c r="AW271" s="51"/>
      <c r="AX271" s="51"/>
      <c r="AY271" s="51"/>
      <c r="AZ271" s="51"/>
      <c r="BA271" s="51"/>
      <c r="BB271" s="51"/>
      <c r="BC271" s="51"/>
      <c r="BD271" s="51"/>
      <c r="BE271" s="51"/>
      <c r="BF271" s="51"/>
      <c r="BG271" s="51"/>
      <c r="BH271" s="51"/>
      <c r="BI271" s="51"/>
      <c r="BJ271" s="51"/>
      <c r="BK271" s="51"/>
      <c r="BL271" s="51"/>
      <c r="BM271" s="51"/>
      <c r="BN271" s="51"/>
      <c r="BO271" s="51"/>
      <c r="BP271" s="51"/>
      <c r="BQ271" s="51"/>
      <c r="BR271" s="51"/>
      <c r="BS271" s="51"/>
      <c r="BT271" s="51"/>
      <c r="BU271" s="51"/>
      <c r="BV271" s="51"/>
      <c r="BW271" s="51"/>
      <c r="BX271" s="51"/>
      <c r="BY271" s="51"/>
      <c r="BZ271" s="51"/>
      <c r="CA271" s="51"/>
      <c r="CB271" s="51"/>
      <c r="CC271" s="51"/>
      <c r="CD271" s="51"/>
      <c r="CE271" s="51"/>
      <c r="CF271" s="51"/>
      <c r="CG271" s="51"/>
      <c r="CH271" s="51"/>
      <c r="CI271" s="51"/>
      <c r="CJ271" s="51"/>
      <c r="CK271" s="51"/>
      <c r="CL271" s="51"/>
      <c r="CM271" s="51"/>
      <c r="CN271" s="51"/>
      <c r="CO271" s="51"/>
      <c r="CP271" s="51"/>
      <c r="CQ271" s="51"/>
      <c r="CR271" s="51"/>
      <c r="CS271" s="51"/>
      <c r="CT271" s="42" t="str">
        <f>IFERROR(('基本数据输入&amp;测算结果'!$C$19*7-AVERAGE(J271:AK271)*7-'基本数据输入&amp;测算结果'!$C$23*7)/'基本数据输入&amp;测算结果'!$C$21*'基本数据输入&amp;测算结果'!$C$22,"无数据/数据缺失")</f>
        <v>无数据/数据缺失</v>
      </c>
      <c r="CU271" s="42">
        <f>IF(CT271&lt;0,0,IF(CT271="无数据/数据缺失",0%,IF(CT271&gt;'基本数据输入&amp;测算结果'!$C$20,100%,CT271/'基本数据输入&amp;测算结果'!$C$20)))</f>
        <v>0</v>
      </c>
      <c r="CV271" s="42" t="str">
        <f>IFERROR((AVERAGE(AL271:AS271)*2-'基本数据输入&amp;测算结果'!$C$24*2)/'基本数据输入&amp;测算结果'!$C$21/'基本数据输入&amp;测算结果'!$C$22,"无数据/数据缺失")</f>
        <v>无数据/数据缺失</v>
      </c>
      <c r="CW271" s="42">
        <f>IF(CV271&lt;0,0,IF(CV271="无数据/数据缺失",0%,IF(CV271&gt;'基本数据输入&amp;测算结果'!$C$20*CU271,CU271,CV271/'基本数据输入&amp;测算结果'!$C$20*CU271)))</f>
        <v>0</v>
      </c>
      <c r="CX271" s="42" t="str">
        <f>IFERROR(('基本数据输入&amp;测算结果'!$C$19*2-AVERAGE(AT271:BA271)*2-'基本数据输入&amp;测算结果'!$C$23*2)/'基本数据输入&amp;测算结果'!$C$21*'基本数据输入&amp;测算结果'!$C$22,"无数据/数据缺失")</f>
        <v>无数据/数据缺失</v>
      </c>
      <c r="CY271" s="42">
        <f>IF(CX271&lt;0,0,IF(CX271="无数据/数据缺失",0%,IF(CX271&gt;'基本数据输入&amp;测算结果'!$C$20,100%,CX271/'基本数据输入&amp;测算结果'!$C$20)))</f>
        <v>0</v>
      </c>
      <c r="CZ271" s="42" t="str">
        <f>IFERROR((AVERAGE(BN271:CS271)*8-'基本数据输入&amp;测算结果'!$C$24*8)/'基本数据输入&amp;测算结果'!$C$21/'基本数据输入&amp;测算结果'!$C$22,"无数据/数据缺失")</f>
        <v>无数据/数据缺失</v>
      </c>
      <c r="DA271" s="42">
        <f>IF(CZ271&lt;0,0,IF(CZ271="无数据/数据缺失",0,IF('基本数据输入&amp;测算结果'!$C$20*CY271&gt;CZ271,CZ271/'基本数据输入&amp;测算结果'!$C$20*CY271,CY271)))</f>
        <v>0</v>
      </c>
      <c r="DB271" s="49">
        <f t="shared" si="12"/>
        <v>0</v>
      </c>
      <c r="DC271" s="50"/>
      <c r="DD271" s="50"/>
    </row>
    <row r="272" customHeight="1" spans="1:108">
      <c r="A272" s="54" t="s">
        <v>326</v>
      </c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1"/>
      <c r="AM272" s="51"/>
      <c r="AN272" s="51"/>
      <c r="AO272" s="51"/>
      <c r="AP272" s="51"/>
      <c r="AQ272" s="51"/>
      <c r="AR272" s="51"/>
      <c r="AS272" s="51"/>
      <c r="AT272" s="51"/>
      <c r="AU272" s="51"/>
      <c r="AV272" s="51"/>
      <c r="AW272" s="51"/>
      <c r="AX272" s="51"/>
      <c r="AY272" s="51"/>
      <c r="AZ272" s="51"/>
      <c r="BA272" s="51"/>
      <c r="BB272" s="51"/>
      <c r="BC272" s="51"/>
      <c r="BD272" s="51"/>
      <c r="BE272" s="51"/>
      <c r="BF272" s="51"/>
      <c r="BG272" s="51"/>
      <c r="BH272" s="51"/>
      <c r="BI272" s="51"/>
      <c r="BJ272" s="51"/>
      <c r="BK272" s="51"/>
      <c r="BL272" s="51"/>
      <c r="BM272" s="51"/>
      <c r="BN272" s="51"/>
      <c r="BO272" s="51"/>
      <c r="BP272" s="51"/>
      <c r="BQ272" s="51"/>
      <c r="BR272" s="51"/>
      <c r="BS272" s="51"/>
      <c r="BT272" s="51"/>
      <c r="BU272" s="51"/>
      <c r="BV272" s="51"/>
      <c r="BW272" s="51"/>
      <c r="BX272" s="51"/>
      <c r="BY272" s="51"/>
      <c r="BZ272" s="51"/>
      <c r="CA272" s="51"/>
      <c r="CB272" s="51"/>
      <c r="CC272" s="51"/>
      <c r="CD272" s="51"/>
      <c r="CE272" s="51"/>
      <c r="CF272" s="51"/>
      <c r="CG272" s="51"/>
      <c r="CH272" s="51"/>
      <c r="CI272" s="51"/>
      <c r="CJ272" s="51"/>
      <c r="CK272" s="51"/>
      <c r="CL272" s="51"/>
      <c r="CM272" s="51"/>
      <c r="CN272" s="51"/>
      <c r="CO272" s="51"/>
      <c r="CP272" s="51"/>
      <c r="CQ272" s="51"/>
      <c r="CR272" s="51"/>
      <c r="CS272" s="51"/>
      <c r="CT272" s="42" t="str">
        <f>IFERROR(('基本数据输入&amp;测算结果'!$C$19*7-AVERAGE(J272:AK272)*7-'基本数据输入&amp;测算结果'!$C$23*7)/'基本数据输入&amp;测算结果'!$C$21*'基本数据输入&amp;测算结果'!$C$22,"无数据/数据缺失")</f>
        <v>无数据/数据缺失</v>
      </c>
      <c r="CU272" s="42">
        <f>IF(CT272&lt;0,0,IF(CT272="无数据/数据缺失",0%,IF(CT272&gt;'基本数据输入&amp;测算结果'!$C$20,100%,CT272/'基本数据输入&amp;测算结果'!$C$20)))</f>
        <v>0</v>
      </c>
      <c r="CV272" s="42" t="str">
        <f>IFERROR((AVERAGE(AL272:AS272)*2-'基本数据输入&amp;测算结果'!$C$24*2)/'基本数据输入&amp;测算结果'!$C$21/'基本数据输入&amp;测算结果'!$C$22,"无数据/数据缺失")</f>
        <v>无数据/数据缺失</v>
      </c>
      <c r="CW272" s="42">
        <f>IF(CV272&lt;0,0,IF(CV272="无数据/数据缺失",0%,IF(CV272&gt;'基本数据输入&amp;测算结果'!$C$20*CU272,CU272,CV272/'基本数据输入&amp;测算结果'!$C$20*CU272)))</f>
        <v>0</v>
      </c>
      <c r="CX272" s="42" t="str">
        <f>IFERROR(('基本数据输入&amp;测算结果'!$C$19*2-AVERAGE(AT272:BA272)*2-'基本数据输入&amp;测算结果'!$C$23*2)/'基本数据输入&amp;测算结果'!$C$21*'基本数据输入&amp;测算结果'!$C$22,"无数据/数据缺失")</f>
        <v>无数据/数据缺失</v>
      </c>
      <c r="CY272" s="42">
        <f>IF(CX272&lt;0,0,IF(CX272="无数据/数据缺失",0%,IF(CX272&gt;'基本数据输入&amp;测算结果'!$C$20,100%,CX272/'基本数据输入&amp;测算结果'!$C$20)))</f>
        <v>0</v>
      </c>
      <c r="CZ272" s="42" t="str">
        <f>IFERROR((AVERAGE(BN272:CS272)*8-'基本数据输入&amp;测算结果'!$C$24*8)/'基本数据输入&amp;测算结果'!$C$21/'基本数据输入&amp;测算结果'!$C$22,"无数据/数据缺失")</f>
        <v>无数据/数据缺失</v>
      </c>
      <c r="DA272" s="42">
        <f>IF(CZ272&lt;0,0,IF(CZ272="无数据/数据缺失",0,IF('基本数据输入&amp;测算结果'!$C$20*CY272&gt;CZ272,CZ272/'基本数据输入&amp;测算结果'!$C$20*CY272,CY272)))</f>
        <v>0</v>
      </c>
      <c r="DB272" s="49">
        <f t="shared" si="12"/>
        <v>0</v>
      </c>
      <c r="DC272" s="50"/>
      <c r="DD272" s="50"/>
    </row>
    <row r="273" customHeight="1" spans="1:108">
      <c r="A273" s="54" t="s">
        <v>327</v>
      </c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  <c r="AI273" s="51"/>
      <c r="AJ273" s="51"/>
      <c r="AK273" s="51"/>
      <c r="AL273" s="51"/>
      <c r="AM273" s="51"/>
      <c r="AN273" s="51"/>
      <c r="AO273" s="51"/>
      <c r="AP273" s="51"/>
      <c r="AQ273" s="51"/>
      <c r="AR273" s="51"/>
      <c r="AS273" s="51"/>
      <c r="AT273" s="51"/>
      <c r="AU273" s="51"/>
      <c r="AV273" s="51"/>
      <c r="AW273" s="51"/>
      <c r="AX273" s="51"/>
      <c r="AY273" s="51"/>
      <c r="AZ273" s="51"/>
      <c r="BA273" s="51"/>
      <c r="BB273" s="51"/>
      <c r="BC273" s="51"/>
      <c r="BD273" s="51"/>
      <c r="BE273" s="51"/>
      <c r="BF273" s="51"/>
      <c r="BG273" s="51"/>
      <c r="BH273" s="51"/>
      <c r="BI273" s="51"/>
      <c r="BJ273" s="51"/>
      <c r="BK273" s="51"/>
      <c r="BL273" s="51"/>
      <c r="BM273" s="51"/>
      <c r="BN273" s="51"/>
      <c r="BO273" s="51"/>
      <c r="BP273" s="51"/>
      <c r="BQ273" s="51"/>
      <c r="BR273" s="51"/>
      <c r="BS273" s="51"/>
      <c r="BT273" s="51"/>
      <c r="BU273" s="51"/>
      <c r="BV273" s="51"/>
      <c r="BW273" s="51"/>
      <c r="BX273" s="51"/>
      <c r="BY273" s="51"/>
      <c r="BZ273" s="51"/>
      <c r="CA273" s="51"/>
      <c r="CB273" s="51"/>
      <c r="CC273" s="51"/>
      <c r="CD273" s="51"/>
      <c r="CE273" s="51"/>
      <c r="CF273" s="51"/>
      <c r="CG273" s="51"/>
      <c r="CH273" s="51"/>
      <c r="CI273" s="51"/>
      <c r="CJ273" s="51"/>
      <c r="CK273" s="51"/>
      <c r="CL273" s="51"/>
      <c r="CM273" s="51"/>
      <c r="CN273" s="51"/>
      <c r="CO273" s="51"/>
      <c r="CP273" s="51"/>
      <c r="CQ273" s="51"/>
      <c r="CR273" s="51"/>
      <c r="CS273" s="51"/>
      <c r="CT273" s="42" t="str">
        <f>IFERROR(('基本数据输入&amp;测算结果'!$C$19*7-AVERAGE(J273:AK273)*7-'基本数据输入&amp;测算结果'!$C$23*7)/'基本数据输入&amp;测算结果'!$C$21*'基本数据输入&amp;测算结果'!$C$22,"无数据/数据缺失")</f>
        <v>无数据/数据缺失</v>
      </c>
      <c r="CU273" s="42">
        <f>IF(CT273&lt;0,0,IF(CT273="无数据/数据缺失",0%,IF(CT273&gt;'基本数据输入&amp;测算结果'!$C$20,100%,CT273/'基本数据输入&amp;测算结果'!$C$20)))</f>
        <v>0</v>
      </c>
      <c r="CV273" s="42" t="str">
        <f>IFERROR((AVERAGE(AL273:AS273)*2-'基本数据输入&amp;测算结果'!$C$24*2)/'基本数据输入&amp;测算结果'!$C$21/'基本数据输入&amp;测算结果'!$C$22,"无数据/数据缺失")</f>
        <v>无数据/数据缺失</v>
      </c>
      <c r="CW273" s="42">
        <f>IF(CV273&lt;0,0,IF(CV273="无数据/数据缺失",0%,IF(CV273&gt;'基本数据输入&amp;测算结果'!$C$20*CU273,CU273,CV273/'基本数据输入&amp;测算结果'!$C$20*CU273)))</f>
        <v>0</v>
      </c>
      <c r="CX273" s="42" t="str">
        <f>IFERROR(('基本数据输入&amp;测算结果'!$C$19*2-AVERAGE(AT273:BA273)*2-'基本数据输入&amp;测算结果'!$C$23*2)/'基本数据输入&amp;测算结果'!$C$21*'基本数据输入&amp;测算结果'!$C$22,"无数据/数据缺失")</f>
        <v>无数据/数据缺失</v>
      </c>
      <c r="CY273" s="42">
        <f>IF(CX273&lt;0,0,IF(CX273="无数据/数据缺失",0%,IF(CX273&gt;'基本数据输入&amp;测算结果'!$C$20,100%,CX273/'基本数据输入&amp;测算结果'!$C$20)))</f>
        <v>0</v>
      </c>
      <c r="CZ273" s="42" t="str">
        <f>IFERROR((AVERAGE(BN273:CS273)*8-'基本数据输入&amp;测算结果'!$C$24*8)/'基本数据输入&amp;测算结果'!$C$21/'基本数据输入&amp;测算结果'!$C$22,"无数据/数据缺失")</f>
        <v>无数据/数据缺失</v>
      </c>
      <c r="DA273" s="42">
        <f>IF(CZ273&lt;0,0,IF(CZ273="无数据/数据缺失",0,IF('基本数据输入&amp;测算结果'!$C$20*CY273&gt;CZ273,CZ273/'基本数据输入&amp;测算结果'!$C$20*CY273,CY273)))</f>
        <v>0</v>
      </c>
      <c r="DB273" s="49">
        <f t="shared" si="12"/>
        <v>0</v>
      </c>
      <c r="DC273" s="50"/>
      <c r="DD273" s="50"/>
    </row>
    <row r="274" s="42" customFormat="1" customHeight="1" spans="1:108">
      <c r="A274" s="54" t="s">
        <v>328</v>
      </c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  <c r="AK274" s="51"/>
      <c r="AL274" s="51"/>
      <c r="AM274" s="51"/>
      <c r="AN274" s="51"/>
      <c r="AO274" s="51"/>
      <c r="AP274" s="51"/>
      <c r="AQ274" s="51"/>
      <c r="AR274" s="51"/>
      <c r="AS274" s="51"/>
      <c r="AT274" s="51"/>
      <c r="AU274" s="51"/>
      <c r="AV274" s="51"/>
      <c r="AW274" s="51"/>
      <c r="AX274" s="51"/>
      <c r="AY274" s="51"/>
      <c r="AZ274" s="51"/>
      <c r="BA274" s="51"/>
      <c r="BB274" s="51"/>
      <c r="BC274" s="51"/>
      <c r="BD274" s="51"/>
      <c r="BE274" s="51"/>
      <c r="BF274" s="51"/>
      <c r="BG274" s="51"/>
      <c r="BH274" s="51"/>
      <c r="BI274" s="51"/>
      <c r="BJ274" s="51"/>
      <c r="BK274" s="51"/>
      <c r="BL274" s="51"/>
      <c r="BM274" s="51"/>
      <c r="BN274" s="51"/>
      <c r="BO274" s="51"/>
      <c r="BP274" s="51"/>
      <c r="BQ274" s="51"/>
      <c r="BR274" s="51"/>
      <c r="BS274" s="51"/>
      <c r="BT274" s="51"/>
      <c r="BU274" s="51"/>
      <c r="BV274" s="51"/>
      <c r="BW274" s="51"/>
      <c r="BX274" s="51"/>
      <c r="BY274" s="51"/>
      <c r="BZ274" s="51"/>
      <c r="CA274" s="51"/>
      <c r="CB274" s="51"/>
      <c r="CC274" s="51"/>
      <c r="CD274" s="51"/>
      <c r="CE274" s="51"/>
      <c r="CF274" s="51"/>
      <c r="CG274" s="51"/>
      <c r="CH274" s="51"/>
      <c r="CI274" s="51"/>
      <c r="CJ274" s="51"/>
      <c r="CK274" s="51"/>
      <c r="CL274" s="51"/>
      <c r="CM274" s="51"/>
      <c r="CN274" s="51"/>
      <c r="CO274" s="51"/>
      <c r="CP274" s="51"/>
      <c r="CQ274" s="51"/>
      <c r="CR274" s="51"/>
      <c r="CS274" s="51"/>
      <c r="CT274" s="42" t="str">
        <f>IFERROR(('基本数据输入&amp;测算结果'!$C$19*7-AVERAGE(J274:AK274)*7-'基本数据输入&amp;测算结果'!$C$23*7)/'基本数据输入&amp;测算结果'!$C$21*'基本数据输入&amp;测算结果'!$C$22,"无数据/数据缺失")</f>
        <v>无数据/数据缺失</v>
      </c>
      <c r="CU274" s="42">
        <f>IF(CT274&lt;0,0,IF(CT274="无数据/数据缺失",0%,IF(CT274&gt;'基本数据输入&amp;测算结果'!$C$20,100%,CT274/'基本数据输入&amp;测算结果'!$C$20)))</f>
        <v>0</v>
      </c>
      <c r="CV274" s="42" t="str">
        <f>IFERROR((AVERAGE(AL274:AS274)*2-'基本数据输入&amp;测算结果'!$C$24*2)/'基本数据输入&amp;测算结果'!$C$21/'基本数据输入&amp;测算结果'!$C$22,"无数据/数据缺失")</f>
        <v>无数据/数据缺失</v>
      </c>
      <c r="CW274" s="42">
        <f>IF(CV274&lt;0,0,IF(CV274="无数据/数据缺失",0%,IF(CV274&gt;'基本数据输入&amp;测算结果'!$C$20*CU274,CU274,CV274/'基本数据输入&amp;测算结果'!$C$20*CU274)))</f>
        <v>0</v>
      </c>
      <c r="CX274" s="42" t="str">
        <f>IFERROR(('基本数据输入&amp;测算结果'!$C$19*2-AVERAGE(AT274:BA274)*2-'基本数据输入&amp;测算结果'!$C$23*2)/'基本数据输入&amp;测算结果'!$C$21*'基本数据输入&amp;测算结果'!$C$22,"无数据/数据缺失")</f>
        <v>无数据/数据缺失</v>
      </c>
      <c r="CY274" s="42">
        <f>IF(CX274&lt;0,0,IF(CX274="无数据/数据缺失",0%,IF(CX274&gt;'基本数据输入&amp;测算结果'!$C$20,100%,CX274/'基本数据输入&amp;测算结果'!$C$20)))</f>
        <v>0</v>
      </c>
      <c r="CZ274" s="42" t="str">
        <f>IFERROR((AVERAGE(BN274:CS274)*8-'基本数据输入&amp;测算结果'!$C$24*8)/'基本数据输入&amp;测算结果'!$C$21/'基本数据输入&amp;测算结果'!$C$22,"无数据/数据缺失")</f>
        <v>无数据/数据缺失</v>
      </c>
      <c r="DA274" s="42">
        <f>IF(CZ274&lt;0,0,IF(CZ274="无数据/数据缺失",0,IF('基本数据输入&amp;测算结果'!$C$20*CY274&gt;CZ274,CZ274/'基本数据输入&amp;测算结果'!$C$20*CY274,CY274)))</f>
        <v>0</v>
      </c>
      <c r="DB274" s="49">
        <f t="shared" si="12"/>
        <v>0</v>
      </c>
      <c r="DC274" s="50"/>
      <c r="DD274" s="50"/>
    </row>
    <row r="275" customHeight="1" spans="1:108">
      <c r="A275" s="52" t="s">
        <v>329</v>
      </c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51"/>
      <c r="AJ275" s="51"/>
      <c r="AK275" s="51"/>
      <c r="AL275" s="51"/>
      <c r="AM275" s="51"/>
      <c r="AN275" s="51"/>
      <c r="AO275" s="51"/>
      <c r="AP275" s="51"/>
      <c r="AQ275" s="51"/>
      <c r="AR275" s="51"/>
      <c r="AS275" s="51"/>
      <c r="AT275" s="51"/>
      <c r="AU275" s="51"/>
      <c r="AV275" s="51"/>
      <c r="AW275" s="51"/>
      <c r="AX275" s="51"/>
      <c r="AY275" s="51"/>
      <c r="AZ275" s="51"/>
      <c r="BA275" s="51"/>
      <c r="BB275" s="51"/>
      <c r="BC275" s="51"/>
      <c r="BD275" s="51"/>
      <c r="BE275" s="51"/>
      <c r="BF275" s="51"/>
      <c r="BG275" s="51"/>
      <c r="BH275" s="51"/>
      <c r="BI275" s="51"/>
      <c r="BJ275" s="51"/>
      <c r="BK275" s="51"/>
      <c r="BL275" s="51"/>
      <c r="BM275" s="51"/>
      <c r="BN275" s="51"/>
      <c r="BO275" s="51"/>
      <c r="BP275" s="51"/>
      <c r="BQ275" s="51"/>
      <c r="BR275" s="51"/>
      <c r="BS275" s="51"/>
      <c r="BT275" s="51"/>
      <c r="BU275" s="51"/>
      <c r="BV275" s="51"/>
      <c r="BW275" s="51"/>
      <c r="BX275" s="51"/>
      <c r="BY275" s="51"/>
      <c r="BZ275" s="51"/>
      <c r="CA275" s="51"/>
      <c r="CB275" s="51"/>
      <c r="CC275" s="51"/>
      <c r="CD275" s="51"/>
      <c r="CE275" s="51"/>
      <c r="CF275" s="51"/>
      <c r="CG275" s="51"/>
      <c r="CH275" s="51"/>
      <c r="CI275" s="51"/>
      <c r="CJ275" s="51"/>
      <c r="CK275" s="51"/>
      <c r="CL275" s="51"/>
      <c r="CM275" s="51"/>
      <c r="CN275" s="51"/>
      <c r="CO275" s="51"/>
      <c r="CP275" s="51"/>
      <c r="CQ275" s="51"/>
      <c r="CR275" s="51"/>
      <c r="CS275" s="51"/>
      <c r="CT275" s="42" t="str">
        <f>IFERROR(('基本数据输入&amp;测算结果'!$C$19*7-AVERAGE(B275:Y275,CP275:CS275)*7-'基本数据输入&amp;测算结果'!$C$23*7)/'基本数据输入&amp;测算结果'!$C$21*'基本数据输入&amp;测算结果'!$C$22,"无数据/数据缺失")</f>
        <v>无数据/数据缺失</v>
      </c>
      <c r="CU275" s="42">
        <f>IF(CT275&lt;0,0,IF(CT275="无数据/数据缺失",0%,IF(CT275&gt;'基本数据输入&amp;测算结果'!$C$20,100%,CT275/'基本数据输入&amp;测算结果'!$C$20)))</f>
        <v>0</v>
      </c>
      <c r="CV275" s="42" t="str">
        <f>IFERROR((AVERAGE(Z275:AG275)*2-'基本数据输入&amp;测算结果'!$C$24*2)/'基本数据输入&amp;测算结果'!$C$21/'基本数据输入&amp;测算结果'!$C$22,"无数据/数据缺失")</f>
        <v>无数据/数据缺失</v>
      </c>
      <c r="CW275" s="42">
        <f>IF(CV275&lt;0,0,IF(CV275="无数据/数据缺失",0%,IF(CV275&gt;'基本数据输入&amp;测算结果'!$C$20*CU275,CU275,CV275/'基本数据输入&amp;测算结果'!$C$20*CU275)))</f>
        <v>0</v>
      </c>
      <c r="CX275" s="42" t="str">
        <f>IFERROR(('基本数据输入&amp;测算结果'!$C$19*3-AVERAGE(AT275:BE275)*3-'基本数据输入&amp;测算结果'!$C$23*3)/'基本数据输入&amp;测算结果'!$C$21*'基本数据输入&amp;测算结果'!$C$22,"无数据/数据缺失")</f>
        <v>无数据/数据缺失</v>
      </c>
      <c r="CY275" s="42">
        <f>IF(CX275&lt;0,0,IF(CX275="无数据/数据缺失",0%,IF(CX275&gt;'基本数据输入&amp;测算结果'!$C$20,100%,CX275/'基本数据输入&amp;测算结果'!$C$20)))</f>
        <v>0</v>
      </c>
      <c r="CZ275" s="42" t="str">
        <f>IFERROR((AVERAGE(BN275:CK275)*6-'基本数据输入&amp;测算结果'!$C$24*6)/'基本数据输入&amp;测算结果'!$C$21/'基本数据输入&amp;测算结果'!$C$22,"无数据/数据缺失")</f>
        <v>无数据/数据缺失</v>
      </c>
      <c r="DA275" s="42">
        <f>IF(CZ275&lt;0,0,IF(CZ275="无数据/数据缺失",0,IF('基本数据输入&amp;测算结果'!$C$20*CY275&gt;CZ275,CZ275/'基本数据输入&amp;测算结果'!$C$20*CY275,CY275)))</f>
        <v>0</v>
      </c>
      <c r="DB275" s="49">
        <f t="shared" si="12"/>
        <v>0</v>
      </c>
      <c r="DC275" s="50"/>
      <c r="DD275" s="50"/>
    </row>
    <row r="276" customHeight="1" spans="1:108">
      <c r="A276" s="52" t="s">
        <v>330</v>
      </c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  <c r="AK276" s="51"/>
      <c r="AL276" s="51"/>
      <c r="AM276" s="51"/>
      <c r="AN276" s="51"/>
      <c r="AO276" s="51"/>
      <c r="AP276" s="51"/>
      <c r="AQ276" s="51"/>
      <c r="AR276" s="51"/>
      <c r="AS276" s="51"/>
      <c r="AT276" s="51"/>
      <c r="AU276" s="51"/>
      <c r="AV276" s="51"/>
      <c r="AW276" s="51"/>
      <c r="AX276" s="51"/>
      <c r="AY276" s="51"/>
      <c r="AZ276" s="51"/>
      <c r="BA276" s="51"/>
      <c r="BB276" s="51"/>
      <c r="BC276" s="51"/>
      <c r="BD276" s="51"/>
      <c r="BE276" s="51"/>
      <c r="BF276" s="51"/>
      <c r="BG276" s="51"/>
      <c r="BH276" s="51"/>
      <c r="BI276" s="51"/>
      <c r="BJ276" s="51"/>
      <c r="BK276" s="51"/>
      <c r="BL276" s="51"/>
      <c r="BM276" s="51"/>
      <c r="BN276" s="51"/>
      <c r="BO276" s="51"/>
      <c r="BP276" s="51"/>
      <c r="BQ276" s="51"/>
      <c r="BR276" s="51"/>
      <c r="BS276" s="51"/>
      <c r="BT276" s="51"/>
      <c r="BU276" s="51"/>
      <c r="BV276" s="51"/>
      <c r="BW276" s="51"/>
      <c r="BX276" s="51"/>
      <c r="BY276" s="51"/>
      <c r="BZ276" s="51"/>
      <c r="CA276" s="51"/>
      <c r="CB276" s="51"/>
      <c r="CC276" s="51"/>
      <c r="CD276" s="51"/>
      <c r="CE276" s="51"/>
      <c r="CF276" s="51"/>
      <c r="CG276" s="51"/>
      <c r="CH276" s="51"/>
      <c r="CI276" s="51"/>
      <c r="CJ276" s="51"/>
      <c r="CK276" s="51"/>
      <c r="CL276" s="51"/>
      <c r="CM276" s="51"/>
      <c r="CN276" s="51"/>
      <c r="CO276" s="51"/>
      <c r="CP276" s="51"/>
      <c r="CQ276" s="51"/>
      <c r="CR276" s="51"/>
      <c r="CS276" s="51"/>
      <c r="CT276" s="42" t="str">
        <f>IFERROR(('基本数据输入&amp;测算结果'!$C$19*7-AVERAGE(B276:Y276,CP276:CS276)*7-'基本数据输入&amp;测算结果'!$C$23*7)/'基本数据输入&amp;测算结果'!$C$21*'基本数据输入&amp;测算结果'!$C$22,"无数据/数据缺失")</f>
        <v>无数据/数据缺失</v>
      </c>
      <c r="CU276" s="42">
        <f>IF(CT276&lt;0,0,IF(CT276="无数据/数据缺失",0%,IF(CT276&gt;'基本数据输入&amp;测算结果'!$C$20,100%,CT276/'基本数据输入&amp;测算结果'!$C$20)))</f>
        <v>0</v>
      </c>
      <c r="CV276" s="42" t="str">
        <f>IFERROR((AVERAGE(Z276:AG276)*2-'基本数据输入&amp;测算结果'!$C$24*2)/'基本数据输入&amp;测算结果'!$C$21/'基本数据输入&amp;测算结果'!$C$22,"无数据/数据缺失")</f>
        <v>无数据/数据缺失</v>
      </c>
      <c r="CW276" s="42">
        <f>IF(CV276&lt;0,0,IF(CV276="无数据/数据缺失",0%,IF(CV276&gt;'基本数据输入&amp;测算结果'!$C$20*CU276,CU276,CV276/'基本数据输入&amp;测算结果'!$C$20*CU276)))</f>
        <v>0</v>
      </c>
      <c r="CX276" s="42" t="str">
        <f>IFERROR(('基本数据输入&amp;测算结果'!$C$19*3-AVERAGE(AT276:BE276)*3-'基本数据输入&amp;测算结果'!$C$23*3)/'基本数据输入&amp;测算结果'!$C$21*'基本数据输入&amp;测算结果'!$C$22,"无数据/数据缺失")</f>
        <v>无数据/数据缺失</v>
      </c>
      <c r="CY276" s="42">
        <f>IF(CX276&lt;0,0,IF(CX276="无数据/数据缺失",0%,IF(CX276&gt;'基本数据输入&amp;测算结果'!$C$20,100%,CX276/'基本数据输入&amp;测算结果'!$C$20)))</f>
        <v>0</v>
      </c>
      <c r="CZ276" s="42" t="str">
        <f>IFERROR((AVERAGE(BN276:CK276)*6-'基本数据输入&amp;测算结果'!$C$24*6)/'基本数据输入&amp;测算结果'!$C$21/'基本数据输入&amp;测算结果'!$C$22,"无数据/数据缺失")</f>
        <v>无数据/数据缺失</v>
      </c>
      <c r="DA276" s="42">
        <f>IF(CZ276&lt;0,0,IF(CZ276="无数据/数据缺失",0,IF('基本数据输入&amp;测算结果'!$C$20*CY276&gt;CZ276,CZ276/'基本数据输入&amp;测算结果'!$C$20*CY276,CY276)))</f>
        <v>0</v>
      </c>
      <c r="DB276" s="49">
        <f t="shared" ref="DB276:DB336" si="13">MIN(CU276,CW276)+MIN(CY276,DA276)</f>
        <v>0</v>
      </c>
      <c r="DC276" s="50"/>
      <c r="DD276" s="50"/>
    </row>
    <row r="277" customHeight="1" spans="1:108">
      <c r="A277" s="52" t="s">
        <v>331</v>
      </c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51"/>
      <c r="AJ277" s="51"/>
      <c r="AK277" s="51"/>
      <c r="AL277" s="51"/>
      <c r="AM277" s="51"/>
      <c r="AN277" s="51"/>
      <c r="AO277" s="51"/>
      <c r="AP277" s="51"/>
      <c r="AQ277" s="51"/>
      <c r="AR277" s="51"/>
      <c r="AS277" s="51"/>
      <c r="AT277" s="51"/>
      <c r="AU277" s="51"/>
      <c r="AV277" s="51"/>
      <c r="AW277" s="51"/>
      <c r="AX277" s="51"/>
      <c r="AY277" s="51"/>
      <c r="AZ277" s="51"/>
      <c r="BA277" s="51"/>
      <c r="BB277" s="51"/>
      <c r="BC277" s="51"/>
      <c r="BD277" s="51"/>
      <c r="BE277" s="51"/>
      <c r="BF277" s="51"/>
      <c r="BG277" s="51"/>
      <c r="BH277" s="51"/>
      <c r="BI277" s="51"/>
      <c r="BJ277" s="51"/>
      <c r="BK277" s="51"/>
      <c r="BL277" s="51"/>
      <c r="BM277" s="51"/>
      <c r="BN277" s="51"/>
      <c r="BO277" s="51"/>
      <c r="BP277" s="51"/>
      <c r="BQ277" s="51"/>
      <c r="BR277" s="51"/>
      <c r="BS277" s="51"/>
      <c r="BT277" s="51"/>
      <c r="BU277" s="51"/>
      <c r="BV277" s="51"/>
      <c r="BW277" s="51"/>
      <c r="BX277" s="51"/>
      <c r="BY277" s="51"/>
      <c r="BZ277" s="51"/>
      <c r="CA277" s="51"/>
      <c r="CB277" s="51"/>
      <c r="CC277" s="51"/>
      <c r="CD277" s="51"/>
      <c r="CE277" s="51"/>
      <c r="CF277" s="51"/>
      <c r="CG277" s="51"/>
      <c r="CH277" s="51"/>
      <c r="CI277" s="51"/>
      <c r="CJ277" s="51"/>
      <c r="CK277" s="51"/>
      <c r="CL277" s="51"/>
      <c r="CM277" s="51"/>
      <c r="CN277" s="51"/>
      <c r="CO277" s="51"/>
      <c r="CP277" s="51"/>
      <c r="CQ277" s="51"/>
      <c r="CR277" s="51"/>
      <c r="CS277" s="51"/>
      <c r="CT277" s="42" t="str">
        <f>IFERROR(('基本数据输入&amp;测算结果'!$C$19*7-AVERAGE(B277:Y277,CP277:CS277)*7-'基本数据输入&amp;测算结果'!$C$23*7)/'基本数据输入&amp;测算结果'!$C$21*'基本数据输入&amp;测算结果'!$C$22,"无数据/数据缺失")</f>
        <v>无数据/数据缺失</v>
      </c>
      <c r="CU277" s="42">
        <f>IF(CT277&lt;0,0,IF(CT277="无数据/数据缺失",0%,IF(CT277&gt;'基本数据输入&amp;测算结果'!$C$20,100%,CT277/'基本数据输入&amp;测算结果'!$C$20)))</f>
        <v>0</v>
      </c>
      <c r="CV277" s="42" t="str">
        <f>IFERROR((AVERAGE(Z277:AG277)*2-'基本数据输入&amp;测算结果'!$C$24*2)/'基本数据输入&amp;测算结果'!$C$21/'基本数据输入&amp;测算结果'!$C$22,"无数据/数据缺失")</f>
        <v>无数据/数据缺失</v>
      </c>
      <c r="CW277" s="42">
        <f>IF(CV277&lt;0,0,IF(CV277="无数据/数据缺失",0%,IF(CV277&gt;'基本数据输入&amp;测算结果'!$C$20*CU277,CU277,CV277/'基本数据输入&amp;测算结果'!$C$20*CU277)))</f>
        <v>0</v>
      </c>
      <c r="CX277" s="42" t="str">
        <f>IFERROR(('基本数据输入&amp;测算结果'!$C$19*3-AVERAGE(AT277:BE277)*3-'基本数据输入&amp;测算结果'!$C$23*3)/'基本数据输入&amp;测算结果'!$C$21*'基本数据输入&amp;测算结果'!$C$22,"无数据/数据缺失")</f>
        <v>无数据/数据缺失</v>
      </c>
      <c r="CY277" s="42">
        <f>IF(CX277&lt;0,0,IF(CX277="无数据/数据缺失",0%,IF(CX277&gt;'基本数据输入&amp;测算结果'!$C$20,100%,CX277/'基本数据输入&amp;测算结果'!$C$20)))</f>
        <v>0</v>
      </c>
      <c r="CZ277" s="42" t="str">
        <f>IFERROR((AVERAGE(BN277:CK277)*6-'基本数据输入&amp;测算结果'!$C$24*6)/'基本数据输入&amp;测算结果'!$C$21/'基本数据输入&amp;测算结果'!$C$22,"无数据/数据缺失")</f>
        <v>无数据/数据缺失</v>
      </c>
      <c r="DA277" s="42">
        <f>IF(CZ277&lt;0,0,IF(CZ277="无数据/数据缺失",0,IF('基本数据输入&amp;测算结果'!$C$20*CY277&gt;CZ277,CZ277/'基本数据输入&amp;测算结果'!$C$20*CY277,CY277)))</f>
        <v>0</v>
      </c>
      <c r="DB277" s="49">
        <f t="shared" si="13"/>
        <v>0</v>
      </c>
      <c r="DC277" s="50"/>
      <c r="DD277" s="50"/>
    </row>
    <row r="278" customHeight="1" spans="1:108">
      <c r="A278" s="52" t="s">
        <v>332</v>
      </c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  <c r="AI278" s="51"/>
      <c r="AJ278" s="51"/>
      <c r="AK278" s="51"/>
      <c r="AL278" s="51"/>
      <c r="AM278" s="51"/>
      <c r="AN278" s="51"/>
      <c r="AO278" s="51"/>
      <c r="AP278" s="51"/>
      <c r="AQ278" s="51"/>
      <c r="AR278" s="51"/>
      <c r="AS278" s="51"/>
      <c r="AT278" s="51"/>
      <c r="AU278" s="51"/>
      <c r="AV278" s="51"/>
      <c r="AW278" s="51"/>
      <c r="AX278" s="51"/>
      <c r="AY278" s="51"/>
      <c r="AZ278" s="51"/>
      <c r="BA278" s="51"/>
      <c r="BB278" s="51"/>
      <c r="BC278" s="51"/>
      <c r="BD278" s="51"/>
      <c r="BE278" s="51"/>
      <c r="BF278" s="51"/>
      <c r="BG278" s="51"/>
      <c r="BH278" s="51"/>
      <c r="BI278" s="51"/>
      <c r="BJ278" s="51"/>
      <c r="BK278" s="51"/>
      <c r="BL278" s="51"/>
      <c r="BM278" s="51"/>
      <c r="BN278" s="51"/>
      <c r="BO278" s="51"/>
      <c r="BP278" s="51"/>
      <c r="BQ278" s="51"/>
      <c r="BR278" s="51"/>
      <c r="BS278" s="51"/>
      <c r="BT278" s="51"/>
      <c r="BU278" s="51"/>
      <c r="BV278" s="51"/>
      <c r="BW278" s="51"/>
      <c r="BX278" s="51"/>
      <c r="BY278" s="51"/>
      <c r="BZ278" s="51"/>
      <c r="CA278" s="51"/>
      <c r="CB278" s="51"/>
      <c r="CC278" s="51"/>
      <c r="CD278" s="51"/>
      <c r="CE278" s="51"/>
      <c r="CF278" s="51"/>
      <c r="CG278" s="51"/>
      <c r="CH278" s="51"/>
      <c r="CI278" s="51"/>
      <c r="CJ278" s="51"/>
      <c r="CK278" s="51"/>
      <c r="CL278" s="51"/>
      <c r="CM278" s="51"/>
      <c r="CN278" s="51"/>
      <c r="CO278" s="51"/>
      <c r="CP278" s="51"/>
      <c r="CQ278" s="51"/>
      <c r="CR278" s="51"/>
      <c r="CS278" s="51"/>
      <c r="CT278" s="42" t="str">
        <f>IFERROR(('基本数据输入&amp;测算结果'!$C$19*7-AVERAGE(B278:Y278,CP278:CS278)*7-'基本数据输入&amp;测算结果'!$C$23*7)/'基本数据输入&amp;测算结果'!$C$21*'基本数据输入&amp;测算结果'!$C$22,"无数据/数据缺失")</f>
        <v>无数据/数据缺失</v>
      </c>
      <c r="CU278" s="42">
        <f>IF(CT278&lt;0,0,IF(CT278="无数据/数据缺失",0%,IF(CT278&gt;'基本数据输入&amp;测算结果'!$C$20,100%,CT278/'基本数据输入&amp;测算结果'!$C$20)))</f>
        <v>0</v>
      </c>
      <c r="CV278" s="42" t="str">
        <f>IFERROR((AVERAGE(Z278:AG278)*2-'基本数据输入&amp;测算结果'!$C$24*2)/'基本数据输入&amp;测算结果'!$C$21/'基本数据输入&amp;测算结果'!$C$22,"无数据/数据缺失")</f>
        <v>无数据/数据缺失</v>
      </c>
      <c r="CW278" s="42">
        <f>IF(CV278&lt;0,0,IF(CV278="无数据/数据缺失",0%,IF(CV278&gt;'基本数据输入&amp;测算结果'!$C$20*CU278,CU278,CV278/'基本数据输入&amp;测算结果'!$C$20*CU278)))</f>
        <v>0</v>
      </c>
      <c r="CX278" s="42" t="str">
        <f>IFERROR(('基本数据输入&amp;测算结果'!$C$19*3-AVERAGE(AT278:BE278)*3-'基本数据输入&amp;测算结果'!$C$23*3)/'基本数据输入&amp;测算结果'!$C$21*'基本数据输入&amp;测算结果'!$C$22,"无数据/数据缺失")</f>
        <v>无数据/数据缺失</v>
      </c>
      <c r="CY278" s="42">
        <f>IF(CX278&lt;0,0,IF(CX278="无数据/数据缺失",0%,IF(CX278&gt;'基本数据输入&amp;测算结果'!$C$20,100%,CX278/'基本数据输入&amp;测算结果'!$C$20)))</f>
        <v>0</v>
      </c>
      <c r="CZ278" s="42" t="str">
        <f>IFERROR((AVERAGE(BN278:CK278)*6-'基本数据输入&amp;测算结果'!$C$24*6)/'基本数据输入&amp;测算结果'!$C$21/'基本数据输入&amp;测算结果'!$C$22,"无数据/数据缺失")</f>
        <v>无数据/数据缺失</v>
      </c>
      <c r="DA278" s="42">
        <f>IF(CZ278&lt;0,0,IF(CZ278="无数据/数据缺失",0,IF('基本数据输入&amp;测算结果'!$C$20*CY278&gt;CZ278,CZ278/'基本数据输入&amp;测算结果'!$C$20*CY278,CY278)))</f>
        <v>0</v>
      </c>
      <c r="DB278" s="49">
        <f t="shared" si="13"/>
        <v>0</v>
      </c>
      <c r="DC278" s="50"/>
      <c r="DD278" s="50"/>
    </row>
    <row r="279" customHeight="1" spans="1:108">
      <c r="A279" s="52" t="s">
        <v>333</v>
      </c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  <c r="AI279" s="51"/>
      <c r="AJ279" s="51"/>
      <c r="AK279" s="51"/>
      <c r="AL279" s="51"/>
      <c r="AM279" s="51"/>
      <c r="AN279" s="51"/>
      <c r="AO279" s="51"/>
      <c r="AP279" s="51"/>
      <c r="AQ279" s="51"/>
      <c r="AR279" s="51"/>
      <c r="AS279" s="51"/>
      <c r="AT279" s="51"/>
      <c r="AU279" s="51"/>
      <c r="AV279" s="51"/>
      <c r="AW279" s="51"/>
      <c r="AX279" s="51"/>
      <c r="AY279" s="51"/>
      <c r="AZ279" s="51"/>
      <c r="BA279" s="51"/>
      <c r="BB279" s="51"/>
      <c r="BC279" s="51"/>
      <c r="BD279" s="51"/>
      <c r="BE279" s="51"/>
      <c r="BF279" s="51"/>
      <c r="BG279" s="51"/>
      <c r="BH279" s="51"/>
      <c r="BI279" s="51"/>
      <c r="BJ279" s="51"/>
      <c r="BK279" s="51"/>
      <c r="BL279" s="51"/>
      <c r="BM279" s="51"/>
      <c r="BN279" s="51"/>
      <c r="BO279" s="51"/>
      <c r="BP279" s="51"/>
      <c r="BQ279" s="51"/>
      <c r="BR279" s="51"/>
      <c r="BS279" s="51"/>
      <c r="BT279" s="51"/>
      <c r="BU279" s="51"/>
      <c r="BV279" s="51"/>
      <c r="BW279" s="51"/>
      <c r="BX279" s="51"/>
      <c r="BY279" s="51"/>
      <c r="BZ279" s="51"/>
      <c r="CA279" s="51"/>
      <c r="CB279" s="51"/>
      <c r="CC279" s="51"/>
      <c r="CD279" s="51"/>
      <c r="CE279" s="51"/>
      <c r="CF279" s="51"/>
      <c r="CG279" s="51"/>
      <c r="CH279" s="51"/>
      <c r="CI279" s="51"/>
      <c r="CJ279" s="51"/>
      <c r="CK279" s="51"/>
      <c r="CL279" s="51"/>
      <c r="CM279" s="51"/>
      <c r="CN279" s="51"/>
      <c r="CO279" s="51"/>
      <c r="CP279" s="51"/>
      <c r="CQ279" s="51"/>
      <c r="CR279" s="51"/>
      <c r="CS279" s="51"/>
      <c r="CT279" s="42" t="str">
        <f>IFERROR(('基本数据输入&amp;测算结果'!$C$19*7-AVERAGE(B279:Y279,CP279:CS279)*7-'基本数据输入&amp;测算结果'!$C$23*7)/'基本数据输入&amp;测算结果'!$C$21*'基本数据输入&amp;测算结果'!$C$22,"无数据/数据缺失")</f>
        <v>无数据/数据缺失</v>
      </c>
      <c r="CU279" s="42">
        <f>IF(CT279&lt;0,0,IF(CT279="无数据/数据缺失",0%,IF(CT279&gt;'基本数据输入&amp;测算结果'!$C$20,100%,CT279/'基本数据输入&amp;测算结果'!$C$20)))</f>
        <v>0</v>
      </c>
      <c r="CV279" s="42" t="str">
        <f>IFERROR((AVERAGE(Z279:AG279)*2-'基本数据输入&amp;测算结果'!$C$24*2)/'基本数据输入&amp;测算结果'!$C$21/'基本数据输入&amp;测算结果'!$C$22,"无数据/数据缺失")</f>
        <v>无数据/数据缺失</v>
      </c>
      <c r="CW279" s="42">
        <f>IF(CV279&lt;0,0,IF(CV279="无数据/数据缺失",0%,IF(CV279&gt;'基本数据输入&amp;测算结果'!$C$20*CU279,CU279,CV279/'基本数据输入&amp;测算结果'!$C$20*CU279)))</f>
        <v>0</v>
      </c>
      <c r="CX279" s="42" t="str">
        <f>IFERROR(('基本数据输入&amp;测算结果'!$C$19*3-AVERAGE(AT279:BE279)*3-'基本数据输入&amp;测算结果'!$C$23*3)/'基本数据输入&amp;测算结果'!$C$21*'基本数据输入&amp;测算结果'!$C$22,"无数据/数据缺失")</f>
        <v>无数据/数据缺失</v>
      </c>
      <c r="CY279" s="42">
        <f>IF(CX279&lt;0,0,IF(CX279="无数据/数据缺失",0%,IF(CX279&gt;'基本数据输入&amp;测算结果'!$C$20,100%,CX279/'基本数据输入&amp;测算结果'!$C$20)))</f>
        <v>0</v>
      </c>
      <c r="CZ279" s="42" t="str">
        <f>IFERROR((AVERAGE(BN279:CK279)*6-'基本数据输入&amp;测算结果'!$C$24*6)/'基本数据输入&amp;测算结果'!$C$21/'基本数据输入&amp;测算结果'!$C$22,"无数据/数据缺失")</f>
        <v>无数据/数据缺失</v>
      </c>
      <c r="DA279" s="42">
        <f>IF(CZ279&lt;0,0,IF(CZ279="无数据/数据缺失",0,IF('基本数据输入&amp;测算结果'!$C$20*CY279&gt;CZ279,CZ279/'基本数据输入&amp;测算结果'!$C$20*CY279,CY279)))</f>
        <v>0</v>
      </c>
      <c r="DB279" s="49">
        <f t="shared" si="13"/>
        <v>0</v>
      </c>
      <c r="DC279" s="50"/>
      <c r="DD279" s="50"/>
    </row>
    <row r="280" customHeight="1" spans="1:108">
      <c r="A280" s="52" t="s">
        <v>334</v>
      </c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  <c r="AI280" s="51"/>
      <c r="AJ280" s="51"/>
      <c r="AK280" s="51"/>
      <c r="AL280" s="51"/>
      <c r="AM280" s="51"/>
      <c r="AN280" s="51"/>
      <c r="AO280" s="51"/>
      <c r="AP280" s="51"/>
      <c r="AQ280" s="51"/>
      <c r="AR280" s="51"/>
      <c r="AS280" s="51"/>
      <c r="AT280" s="51"/>
      <c r="AU280" s="51"/>
      <c r="AV280" s="51"/>
      <c r="AW280" s="51"/>
      <c r="AX280" s="51"/>
      <c r="AY280" s="51"/>
      <c r="AZ280" s="51"/>
      <c r="BA280" s="51"/>
      <c r="BB280" s="51"/>
      <c r="BC280" s="51"/>
      <c r="BD280" s="51"/>
      <c r="BE280" s="51"/>
      <c r="BF280" s="51"/>
      <c r="BG280" s="51"/>
      <c r="BH280" s="51"/>
      <c r="BI280" s="51"/>
      <c r="BJ280" s="51"/>
      <c r="BK280" s="51"/>
      <c r="BL280" s="51"/>
      <c r="BM280" s="51"/>
      <c r="BN280" s="51"/>
      <c r="BO280" s="51"/>
      <c r="BP280" s="51"/>
      <c r="BQ280" s="51"/>
      <c r="BR280" s="51"/>
      <c r="BS280" s="51"/>
      <c r="BT280" s="51"/>
      <c r="BU280" s="51"/>
      <c r="BV280" s="51"/>
      <c r="BW280" s="51"/>
      <c r="BX280" s="51"/>
      <c r="BY280" s="51"/>
      <c r="BZ280" s="51"/>
      <c r="CA280" s="51"/>
      <c r="CB280" s="51"/>
      <c r="CC280" s="51"/>
      <c r="CD280" s="51"/>
      <c r="CE280" s="51"/>
      <c r="CF280" s="51"/>
      <c r="CG280" s="51"/>
      <c r="CH280" s="51"/>
      <c r="CI280" s="51"/>
      <c r="CJ280" s="51"/>
      <c r="CK280" s="51"/>
      <c r="CL280" s="51"/>
      <c r="CM280" s="51"/>
      <c r="CN280" s="51"/>
      <c r="CO280" s="51"/>
      <c r="CP280" s="51"/>
      <c r="CQ280" s="51"/>
      <c r="CR280" s="51"/>
      <c r="CS280" s="51"/>
      <c r="CT280" s="42" t="str">
        <f>IFERROR(('基本数据输入&amp;测算结果'!$C$19*7-AVERAGE(B280:Y280,CP280:CS280)*7-'基本数据输入&amp;测算结果'!$C$23*7)/'基本数据输入&amp;测算结果'!$C$21*'基本数据输入&amp;测算结果'!$C$22,"无数据/数据缺失")</f>
        <v>无数据/数据缺失</v>
      </c>
      <c r="CU280" s="42">
        <f>IF(CT280&lt;0,0,IF(CT280="无数据/数据缺失",0%,IF(CT280&gt;'基本数据输入&amp;测算结果'!$C$20,100%,CT280/'基本数据输入&amp;测算结果'!$C$20)))</f>
        <v>0</v>
      </c>
      <c r="CV280" s="42" t="str">
        <f>IFERROR((AVERAGE(Z280:AG280)*2-'基本数据输入&amp;测算结果'!$C$24*2)/'基本数据输入&amp;测算结果'!$C$21/'基本数据输入&amp;测算结果'!$C$22,"无数据/数据缺失")</f>
        <v>无数据/数据缺失</v>
      </c>
      <c r="CW280" s="42">
        <f>IF(CV280&lt;0,0,IF(CV280="无数据/数据缺失",0%,IF(CV280&gt;'基本数据输入&amp;测算结果'!$C$20*CU280,CU280,CV280/'基本数据输入&amp;测算结果'!$C$20*CU280)))</f>
        <v>0</v>
      </c>
      <c r="CX280" s="42" t="str">
        <f>IFERROR(('基本数据输入&amp;测算结果'!$C$19*3-AVERAGE(AT280:BE280)*3-'基本数据输入&amp;测算结果'!$C$23*3)/'基本数据输入&amp;测算结果'!$C$21*'基本数据输入&amp;测算结果'!$C$22,"无数据/数据缺失")</f>
        <v>无数据/数据缺失</v>
      </c>
      <c r="CY280" s="42">
        <f>IF(CX280&lt;0,0,IF(CX280="无数据/数据缺失",0%,IF(CX280&gt;'基本数据输入&amp;测算结果'!$C$20,100%,CX280/'基本数据输入&amp;测算结果'!$C$20)))</f>
        <v>0</v>
      </c>
      <c r="CZ280" s="42" t="str">
        <f>IFERROR((AVERAGE(BN280:CK280)*6-'基本数据输入&amp;测算结果'!$C$24*6)/'基本数据输入&amp;测算结果'!$C$21/'基本数据输入&amp;测算结果'!$C$22,"无数据/数据缺失")</f>
        <v>无数据/数据缺失</v>
      </c>
      <c r="DA280" s="42">
        <f>IF(CZ280&lt;0,0,IF(CZ280="无数据/数据缺失",0,IF('基本数据输入&amp;测算结果'!$C$20*CY280&gt;CZ280,CZ280/'基本数据输入&amp;测算结果'!$C$20*CY280,CY280)))</f>
        <v>0</v>
      </c>
      <c r="DB280" s="49">
        <f t="shared" si="13"/>
        <v>0</v>
      </c>
      <c r="DC280" s="50"/>
      <c r="DD280" s="50"/>
    </row>
    <row r="281" customHeight="1" spans="1:108">
      <c r="A281" s="52" t="s">
        <v>335</v>
      </c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  <c r="AI281" s="51"/>
      <c r="AJ281" s="51"/>
      <c r="AK281" s="51"/>
      <c r="AL281" s="51"/>
      <c r="AM281" s="51"/>
      <c r="AN281" s="51"/>
      <c r="AO281" s="51"/>
      <c r="AP281" s="51"/>
      <c r="AQ281" s="51"/>
      <c r="AR281" s="51"/>
      <c r="AS281" s="51"/>
      <c r="AT281" s="51"/>
      <c r="AU281" s="51"/>
      <c r="AV281" s="51"/>
      <c r="AW281" s="51"/>
      <c r="AX281" s="51"/>
      <c r="AY281" s="51"/>
      <c r="AZ281" s="51"/>
      <c r="BA281" s="51"/>
      <c r="BB281" s="51"/>
      <c r="BC281" s="51"/>
      <c r="BD281" s="51"/>
      <c r="BE281" s="51"/>
      <c r="BF281" s="51"/>
      <c r="BG281" s="51"/>
      <c r="BH281" s="51"/>
      <c r="BI281" s="51"/>
      <c r="BJ281" s="51"/>
      <c r="BK281" s="51"/>
      <c r="BL281" s="51"/>
      <c r="BM281" s="51"/>
      <c r="BN281" s="51"/>
      <c r="BO281" s="51"/>
      <c r="BP281" s="51"/>
      <c r="BQ281" s="51"/>
      <c r="BR281" s="51"/>
      <c r="BS281" s="51"/>
      <c r="BT281" s="51"/>
      <c r="BU281" s="51"/>
      <c r="BV281" s="51"/>
      <c r="BW281" s="51"/>
      <c r="BX281" s="51"/>
      <c r="BY281" s="51"/>
      <c r="BZ281" s="51"/>
      <c r="CA281" s="51"/>
      <c r="CB281" s="51"/>
      <c r="CC281" s="51"/>
      <c r="CD281" s="51"/>
      <c r="CE281" s="51"/>
      <c r="CF281" s="51"/>
      <c r="CG281" s="51"/>
      <c r="CH281" s="51"/>
      <c r="CI281" s="51"/>
      <c r="CJ281" s="51"/>
      <c r="CK281" s="51"/>
      <c r="CL281" s="51"/>
      <c r="CM281" s="51"/>
      <c r="CN281" s="51"/>
      <c r="CO281" s="51"/>
      <c r="CP281" s="51"/>
      <c r="CQ281" s="51"/>
      <c r="CR281" s="51"/>
      <c r="CS281" s="51"/>
      <c r="CT281" s="42" t="str">
        <f>IFERROR(('基本数据输入&amp;测算结果'!$C$19*7-AVERAGE(B281:Y281,CP281:CS281)*7-'基本数据输入&amp;测算结果'!$C$23*7)/'基本数据输入&amp;测算结果'!$C$21*'基本数据输入&amp;测算结果'!$C$22,"无数据/数据缺失")</f>
        <v>无数据/数据缺失</v>
      </c>
      <c r="CU281" s="42">
        <f>IF(CT281&lt;0,0,IF(CT281="无数据/数据缺失",0%,IF(CT281&gt;'基本数据输入&amp;测算结果'!$C$20,100%,CT281/'基本数据输入&amp;测算结果'!$C$20)))</f>
        <v>0</v>
      </c>
      <c r="CV281" s="42" t="str">
        <f>IFERROR((AVERAGE(Z281:AG281)*2-'基本数据输入&amp;测算结果'!$C$24*2)/'基本数据输入&amp;测算结果'!$C$21/'基本数据输入&amp;测算结果'!$C$22,"无数据/数据缺失")</f>
        <v>无数据/数据缺失</v>
      </c>
      <c r="CW281" s="42">
        <f>IF(CV281&lt;0,0,IF(CV281="无数据/数据缺失",0%,IF(CV281&gt;'基本数据输入&amp;测算结果'!$C$20*CU281,CU281,CV281/'基本数据输入&amp;测算结果'!$C$20*CU281)))</f>
        <v>0</v>
      </c>
      <c r="CX281" s="42" t="str">
        <f>IFERROR(('基本数据输入&amp;测算结果'!$C$19*3-AVERAGE(AT281:BE281)*3-'基本数据输入&amp;测算结果'!$C$23*3)/'基本数据输入&amp;测算结果'!$C$21*'基本数据输入&amp;测算结果'!$C$22,"无数据/数据缺失")</f>
        <v>无数据/数据缺失</v>
      </c>
      <c r="CY281" s="42">
        <f>IF(CX281&lt;0,0,IF(CX281="无数据/数据缺失",0%,IF(CX281&gt;'基本数据输入&amp;测算结果'!$C$20,100%,CX281/'基本数据输入&amp;测算结果'!$C$20)))</f>
        <v>0</v>
      </c>
      <c r="CZ281" s="42" t="str">
        <f>IFERROR((AVERAGE(BN281:CK281)*6-'基本数据输入&amp;测算结果'!$C$24*6)/'基本数据输入&amp;测算结果'!$C$21/'基本数据输入&amp;测算结果'!$C$22,"无数据/数据缺失")</f>
        <v>无数据/数据缺失</v>
      </c>
      <c r="DA281" s="42">
        <f>IF(CZ281&lt;0,0,IF(CZ281="无数据/数据缺失",0,IF('基本数据输入&amp;测算结果'!$C$20*CY281&gt;CZ281,CZ281/'基本数据输入&amp;测算结果'!$C$20*CY281,CY281)))</f>
        <v>0</v>
      </c>
      <c r="DB281" s="49">
        <f t="shared" si="13"/>
        <v>0</v>
      </c>
      <c r="DC281" s="50"/>
      <c r="DD281" s="50"/>
    </row>
    <row r="282" customHeight="1" spans="1:108">
      <c r="A282" s="52" t="s">
        <v>336</v>
      </c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  <c r="AI282" s="51"/>
      <c r="AJ282" s="51"/>
      <c r="AK282" s="51"/>
      <c r="AL282" s="51"/>
      <c r="AM282" s="51"/>
      <c r="AN282" s="51"/>
      <c r="AO282" s="51"/>
      <c r="AP282" s="51"/>
      <c r="AQ282" s="51"/>
      <c r="AR282" s="51"/>
      <c r="AS282" s="51"/>
      <c r="AT282" s="51"/>
      <c r="AU282" s="51"/>
      <c r="AV282" s="51"/>
      <c r="AW282" s="51"/>
      <c r="AX282" s="51"/>
      <c r="AY282" s="51"/>
      <c r="AZ282" s="51"/>
      <c r="BA282" s="51"/>
      <c r="BB282" s="51"/>
      <c r="BC282" s="51"/>
      <c r="BD282" s="51"/>
      <c r="BE282" s="51"/>
      <c r="BF282" s="51"/>
      <c r="BG282" s="51"/>
      <c r="BH282" s="51"/>
      <c r="BI282" s="51"/>
      <c r="BJ282" s="51"/>
      <c r="BK282" s="51"/>
      <c r="BL282" s="51"/>
      <c r="BM282" s="51"/>
      <c r="BN282" s="51"/>
      <c r="BO282" s="51"/>
      <c r="BP282" s="51"/>
      <c r="BQ282" s="51"/>
      <c r="BR282" s="51"/>
      <c r="BS282" s="51"/>
      <c r="BT282" s="51"/>
      <c r="BU282" s="51"/>
      <c r="BV282" s="51"/>
      <c r="BW282" s="51"/>
      <c r="BX282" s="51"/>
      <c r="BY282" s="51"/>
      <c r="BZ282" s="51"/>
      <c r="CA282" s="51"/>
      <c r="CB282" s="51"/>
      <c r="CC282" s="51"/>
      <c r="CD282" s="51"/>
      <c r="CE282" s="51"/>
      <c r="CF282" s="51"/>
      <c r="CG282" s="51"/>
      <c r="CH282" s="51"/>
      <c r="CI282" s="51"/>
      <c r="CJ282" s="51"/>
      <c r="CK282" s="51"/>
      <c r="CL282" s="51"/>
      <c r="CM282" s="51"/>
      <c r="CN282" s="51"/>
      <c r="CO282" s="51"/>
      <c r="CP282" s="51"/>
      <c r="CQ282" s="51"/>
      <c r="CR282" s="51"/>
      <c r="CS282" s="51"/>
      <c r="CT282" s="42" t="str">
        <f>IFERROR(('基本数据输入&amp;测算结果'!$C$19*7-AVERAGE(B282:Y282,CP282:CS282)*7-'基本数据输入&amp;测算结果'!$C$23*7)/'基本数据输入&amp;测算结果'!$C$21*'基本数据输入&amp;测算结果'!$C$22,"无数据/数据缺失")</f>
        <v>无数据/数据缺失</v>
      </c>
      <c r="CU282" s="42">
        <f>IF(CT282&lt;0,0,IF(CT282="无数据/数据缺失",0%,IF(CT282&gt;'基本数据输入&amp;测算结果'!$C$20,100%,CT282/'基本数据输入&amp;测算结果'!$C$20)))</f>
        <v>0</v>
      </c>
      <c r="CV282" s="42" t="str">
        <f>IFERROR((AVERAGE(Z282:AG282)*2-'基本数据输入&amp;测算结果'!$C$24*2)/'基本数据输入&amp;测算结果'!$C$21/'基本数据输入&amp;测算结果'!$C$22,"无数据/数据缺失")</f>
        <v>无数据/数据缺失</v>
      </c>
      <c r="CW282" s="42">
        <f>IF(CV282&lt;0,0,IF(CV282="无数据/数据缺失",0%,IF(CV282&gt;'基本数据输入&amp;测算结果'!$C$20*CU282,CU282,CV282/'基本数据输入&amp;测算结果'!$C$20*CU282)))</f>
        <v>0</v>
      </c>
      <c r="CX282" s="42" t="str">
        <f>IFERROR(('基本数据输入&amp;测算结果'!$C$19*3-AVERAGE(AT282:BE282)*3-'基本数据输入&amp;测算结果'!$C$23*3)/'基本数据输入&amp;测算结果'!$C$21*'基本数据输入&amp;测算结果'!$C$22,"无数据/数据缺失")</f>
        <v>无数据/数据缺失</v>
      </c>
      <c r="CY282" s="42">
        <f>IF(CX282&lt;0,0,IF(CX282="无数据/数据缺失",0%,IF(CX282&gt;'基本数据输入&amp;测算结果'!$C$20,100%,CX282/'基本数据输入&amp;测算结果'!$C$20)))</f>
        <v>0</v>
      </c>
      <c r="CZ282" s="42" t="str">
        <f>IFERROR((AVERAGE(BN282:CK282)*6-'基本数据输入&amp;测算结果'!$C$24*6)/'基本数据输入&amp;测算结果'!$C$21/'基本数据输入&amp;测算结果'!$C$22,"无数据/数据缺失")</f>
        <v>无数据/数据缺失</v>
      </c>
      <c r="DA282" s="42">
        <f>IF(CZ282&lt;0,0,IF(CZ282="无数据/数据缺失",0,IF('基本数据输入&amp;测算结果'!$C$20*CY282&gt;CZ282,CZ282/'基本数据输入&amp;测算结果'!$C$20*CY282,CY282)))</f>
        <v>0</v>
      </c>
      <c r="DB282" s="49">
        <f t="shared" si="13"/>
        <v>0</v>
      </c>
      <c r="DC282" s="50"/>
      <c r="DD282" s="50"/>
    </row>
    <row r="283" customHeight="1" spans="1:108">
      <c r="A283" s="52" t="s">
        <v>337</v>
      </c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  <c r="AK283" s="51"/>
      <c r="AL283" s="51"/>
      <c r="AM283" s="51"/>
      <c r="AN283" s="51"/>
      <c r="AO283" s="51"/>
      <c r="AP283" s="51"/>
      <c r="AQ283" s="51"/>
      <c r="AR283" s="51"/>
      <c r="AS283" s="51"/>
      <c r="AT283" s="51"/>
      <c r="AU283" s="51"/>
      <c r="AV283" s="51"/>
      <c r="AW283" s="51"/>
      <c r="AX283" s="51"/>
      <c r="AY283" s="51"/>
      <c r="AZ283" s="51"/>
      <c r="BA283" s="51"/>
      <c r="BB283" s="51"/>
      <c r="BC283" s="51"/>
      <c r="BD283" s="51"/>
      <c r="BE283" s="51"/>
      <c r="BF283" s="51"/>
      <c r="BG283" s="51"/>
      <c r="BH283" s="51"/>
      <c r="BI283" s="51"/>
      <c r="BJ283" s="51"/>
      <c r="BK283" s="51"/>
      <c r="BL283" s="51"/>
      <c r="BM283" s="51"/>
      <c r="BN283" s="51"/>
      <c r="BO283" s="51"/>
      <c r="BP283" s="51"/>
      <c r="BQ283" s="51"/>
      <c r="BR283" s="51"/>
      <c r="BS283" s="51"/>
      <c r="BT283" s="51"/>
      <c r="BU283" s="51"/>
      <c r="BV283" s="51"/>
      <c r="BW283" s="51"/>
      <c r="BX283" s="51"/>
      <c r="BY283" s="51"/>
      <c r="BZ283" s="51"/>
      <c r="CA283" s="51"/>
      <c r="CB283" s="51"/>
      <c r="CC283" s="51"/>
      <c r="CD283" s="51"/>
      <c r="CE283" s="51"/>
      <c r="CF283" s="51"/>
      <c r="CG283" s="51"/>
      <c r="CH283" s="51"/>
      <c r="CI283" s="51"/>
      <c r="CJ283" s="51"/>
      <c r="CK283" s="51"/>
      <c r="CL283" s="51"/>
      <c r="CM283" s="51"/>
      <c r="CN283" s="51"/>
      <c r="CO283" s="51"/>
      <c r="CP283" s="51"/>
      <c r="CQ283" s="51"/>
      <c r="CR283" s="51"/>
      <c r="CS283" s="51"/>
      <c r="CT283" s="42" t="str">
        <f>IFERROR(('基本数据输入&amp;测算结果'!$C$19*7-AVERAGE(B283:Y283,CP283:CS283)*7-'基本数据输入&amp;测算结果'!$C$23*7)/'基本数据输入&amp;测算结果'!$C$21*'基本数据输入&amp;测算结果'!$C$22,"无数据/数据缺失")</f>
        <v>无数据/数据缺失</v>
      </c>
      <c r="CU283" s="42">
        <f>IF(CT283&lt;0,0,IF(CT283="无数据/数据缺失",0%,IF(CT283&gt;'基本数据输入&amp;测算结果'!$C$20,100%,CT283/'基本数据输入&amp;测算结果'!$C$20)))</f>
        <v>0</v>
      </c>
      <c r="CV283" s="42" t="str">
        <f>IFERROR((AVERAGE(Z283:AG283)*2-'基本数据输入&amp;测算结果'!$C$24*2)/'基本数据输入&amp;测算结果'!$C$21/'基本数据输入&amp;测算结果'!$C$22,"无数据/数据缺失")</f>
        <v>无数据/数据缺失</v>
      </c>
      <c r="CW283" s="42">
        <f>IF(CV283&lt;0,0,IF(CV283="无数据/数据缺失",0%,IF(CV283&gt;'基本数据输入&amp;测算结果'!$C$20*CU283,CU283,CV283/'基本数据输入&amp;测算结果'!$C$20*CU283)))</f>
        <v>0</v>
      </c>
      <c r="CX283" s="42" t="str">
        <f>IFERROR(('基本数据输入&amp;测算结果'!$C$19*3-AVERAGE(AT283:BE283)*3-'基本数据输入&amp;测算结果'!$C$23*3)/'基本数据输入&amp;测算结果'!$C$21*'基本数据输入&amp;测算结果'!$C$22,"无数据/数据缺失")</f>
        <v>无数据/数据缺失</v>
      </c>
      <c r="CY283" s="42">
        <f>IF(CX283&lt;0,0,IF(CX283="无数据/数据缺失",0%,IF(CX283&gt;'基本数据输入&amp;测算结果'!$C$20,100%,CX283/'基本数据输入&amp;测算结果'!$C$20)))</f>
        <v>0</v>
      </c>
      <c r="CZ283" s="42" t="str">
        <f>IFERROR((AVERAGE(BN283:CK283)*6-'基本数据输入&amp;测算结果'!$C$24*6)/'基本数据输入&amp;测算结果'!$C$21/'基本数据输入&amp;测算结果'!$C$22,"无数据/数据缺失")</f>
        <v>无数据/数据缺失</v>
      </c>
      <c r="DA283" s="42">
        <f>IF(CZ283&lt;0,0,IF(CZ283="无数据/数据缺失",0,IF('基本数据输入&amp;测算结果'!$C$20*CY283&gt;CZ283,CZ283/'基本数据输入&amp;测算结果'!$C$20*CY283,CY283)))</f>
        <v>0</v>
      </c>
      <c r="DB283" s="49">
        <f t="shared" si="13"/>
        <v>0</v>
      </c>
      <c r="DC283" s="50"/>
      <c r="DD283" s="50"/>
    </row>
    <row r="284" customHeight="1" spans="1:108">
      <c r="A284" s="52" t="s">
        <v>338</v>
      </c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1"/>
      <c r="AJ284" s="51"/>
      <c r="AK284" s="51"/>
      <c r="AL284" s="51"/>
      <c r="AM284" s="51"/>
      <c r="AN284" s="51"/>
      <c r="AO284" s="51"/>
      <c r="AP284" s="51"/>
      <c r="AQ284" s="51"/>
      <c r="AR284" s="51"/>
      <c r="AS284" s="51"/>
      <c r="AT284" s="51"/>
      <c r="AU284" s="51"/>
      <c r="AV284" s="51"/>
      <c r="AW284" s="51"/>
      <c r="AX284" s="51"/>
      <c r="AY284" s="51"/>
      <c r="AZ284" s="51"/>
      <c r="BA284" s="51"/>
      <c r="BB284" s="51"/>
      <c r="BC284" s="51"/>
      <c r="BD284" s="51"/>
      <c r="BE284" s="51"/>
      <c r="BF284" s="51"/>
      <c r="BG284" s="51"/>
      <c r="BH284" s="51"/>
      <c r="BI284" s="51"/>
      <c r="BJ284" s="51"/>
      <c r="BK284" s="51"/>
      <c r="BL284" s="51"/>
      <c r="BM284" s="51"/>
      <c r="BN284" s="51"/>
      <c r="BO284" s="51"/>
      <c r="BP284" s="51"/>
      <c r="BQ284" s="51"/>
      <c r="BR284" s="51"/>
      <c r="BS284" s="51"/>
      <c r="BT284" s="51"/>
      <c r="BU284" s="51"/>
      <c r="BV284" s="51"/>
      <c r="BW284" s="51"/>
      <c r="BX284" s="51"/>
      <c r="BY284" s="51"/>
      <c r="BZ284" s="51"/>
      <c r="CA284" s="51"/>
      <c r="CB284" s="51"/>
      <c r="CC284" s="51"/>
      <c r="CD284" s="51"/>
      <c r="CE284" s="51"/>
      <c r="CF284" s="51"/>
      <c r="CG284" s="51"/>
      <c r="CH284" s="51"/>
      <c r="CI284" s="51"/>
      <c r="CJ284" s="51"/>
      <c r="CK284" s="51"/>
      <c r="CL284" s="51"/>
      <c r="CM284" s="51"/>
      <c r="CN284" s="51"/>
      <c r="CO284" s="51"/>
      <c r="CP284" s="51"/>
      <c r="CQ284" s="51"/>
      <c r="CR284" s="51"/>
      <c r="CS284" s="51"/>
      <c r="CT284" s="42" t="str">
        <f>IFERROR(('基本数据输入&amp;测算结果'!$C$19*7-AVERAGE(B284:Y284,CP284:CS284)*7-'基本数据输入&amp;测算结果'!$C$23*7)/'基本数据输入&amp;测算结果'!$C$21*'基本数据输入&amp;测算结果'!$C$22,"无数据/数据缺失")</f>
        <v>无数据/数据缺失</v>
      </c>
      <c r="CU284" s="42">
        <f>IF(CT284&lt;0,0,IF(CT284="无数据/数据缺失",0%,IF(CT284&gt;'基本数据输入&amp;测算结果'!$C$20,100%,CT284/'基本数据输入&amp;测算结果'!$C$20)))</f>
        <v>0</v>
      </c>
      <c r="CV284" s="42" t="str">
        <f>IFERROR((AVERAGE(Z284:AG284)*2-'基本数据输入&amp;测算结果'!$C$24*2)/'基本数据输入&amp;测算结果'!$C$21/'基本数据输入&amp;测算结果'!$C$22,"无数据/数据缺失")</f>
        <v>无数据/数据缺失</v>
      </c>
      <c r="CW284" s="42">
        <f>IF(CV284&lt;0,0,IF(CV284="无数据/数据缺失",0%,IF(CV284&gt;'基本数据输入&amp;测算结果'!$C$20*CU284,CU284,CV284/'基本数据输入&amp;测算结果'!$C$20*CU284)))</f>
        <v>0</v>
      </c>
      <c r="CX284" s="42" t="str">
        <f>IFERROR(('基本数据输入&amp;测算结果'!$C$19*3-AVERAGE(AT284:BE284)*3-'基本数据输入&amp;测算结果'!$C$23*3)/'基本数据输入&amp;测算结果'!$C$21*'基本数据输入&amp;测算结果'!$C$22,"无数据/数据缺失")</f>
        <v>无数据/数据缺失</v>
      </c>
      <c r="CY284" s="42">
        <f>IF(CX284&lt;0,0,IF(CX284="无数据/数据缺失",0%,IF(CX284&gt;'基本数据输入&amp;测算结果'!$C$20,100%,CX284/'基本数据输入&amp;测算结果'!$C$20)))</f>
        <v>0</v>
      </c>
      <c r="CZ284" s="42" t="str">
        <f>IFERROR((AVERAGE(BN284:CK284)*6-'基本数据输入&amp;测算结果'!$C$24*6)/'基本数据输入&amp;测算结果'!$C$21/'基本数据输入&amp;测算结果'!$C$22,"无数据/数据缺失")</f>
        <v>无数据/数据缺失</v>
      </c>
      <c r="DA284" s="42">
        <f>IF(CZ284&lt;0,0,IF(CZ284="无数据/数据缺失",0,IF('基本数据输入&amp;测算结果'!$C$20*CY284&gt;CZ284,CZ284/'基本数据输入&amp;测算结果'!$C$20*CY284,CY284)))</f>
        <v>0</v>
      </c>
      <c r="DB284" s="49">
        <f t="shared" si="13"/>
        <v>0</v>
      </c>
      <c r="DC284" s="50"/>
      <c r="DD284" s="50"/>
    </row>
    <row r="285" customHeight="1" spans="1:108">
      <c r="A285" s="52" t="s">
        <v>339</v>
      </c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  <c r="AI285" s="51"/>
      <c r="AJ285" s="51"/>
      <c r="AK285" s="51"/>
      <c r="AL285" s="51"/>
      <c r="AM285" s="51"/>
      <c r="AN285" s="51"/>
      <c r="AO285" s="51"/>
      <c r="AP285" s="51"/>
      <c r="AQ285" s="51"/>
      <c r="AR285" s="51"/>
      <c r="AS285" s="51"/>
      <c r="AT285" s="51"/>
      <c r="AU285" s="51"/>
      <c r="AV285" s="51"/>
      <c r="AW285" s="51"/>
      <c r="AX285" s="51"/>
      <c r="AY285" s="51"/>
      <c r="AZ285" s="51"/>
      <c r="BA285" s="51"/>
      <c r="BB285" s="51"/>
      <c r="BC285" s="51"/>
      <c r="BD285" s="51"/>
      <c r="BE285" s="51"/>
      <c r="BF285" s="51"/>
      <c r="BG285" s="51"/>
      <c r="BH285" s="51"/>
      <c r="BI285" s="51"/>
      <c r="BJ285" s="51"/>
      <c r="BK285" s="51"/>
      <c r="BL285" s="51"/>
      <c r="BM285" s="51"/>
      <c r="BN285" s="51"/>
      <c r="BO285" s="51"/>
      <c r="BP285" s="51"/>
      <c r="BQ285" s="51"/>
      <c r="BR285" s="51"/>
      <c r="BS285" s="51"/>
      <c r="BT285" s="51"/>
      <c r="BU285" s="51"/>
      <c r="BV285" s="51"/>
      <c r="BW285" s="51"/>
      <c r="BX285" s="51"/>
      <c r="BY285" s="51"/>
      <c r="BZ285" s="51"/>
      <c r="CA285" s="51"/>
      <c r="CB285" s="51"/>
      <c r="CC285" s="51"/>
      <c r="CD285" s="51"/>
      <c r="CE285" s="51"/>
      <c r="CF285" s="51"/>
      <c r="CG285" s="51"/>
      <c r="CH285" s="51"/>
      <c r="CI285" s="51"/>
      <c r="CJ285" s="51"/>
      <c r="CK285" s="51"/>
      <c r="CL285" s="51"/>
      <c r="CM285" s="51"/>
      <c r="CN285" s="51"/>
      <c r="CO285" s="51"/>
      <c r="CP285" s="51"/>
      <c r="CQ285" s="51"/>
      <c r="CR285" s="51"/>
      <c r="CS285" s="51"/>
      <c r="CT285" s="42" t="str">
        <f>IFERROR(('基本数据输入&amp;测算结果'!$C$19*7-AVERAGE(B285:Y285,CP285:CS285)*7-'基本数据输入&amp;测算结果'!$C$23*7)/'基本数据输入&amp;测算结果'!$C$21*'基本数据输入&amp;测算结果'!$C$22,"无数据/数据缺失")</f>
        <v>无数据/数据缺失</v>
      </c>
      <c r="CU285" s="42">
        <f>IF(CT285&lt;0,0,IF(CT285="无数据/数据缺失",0%,IF(CT285&gt;'基本数据输入&amp;测算结果'!$C$20,100%,CT285/'基本数据输入&amp;测算结果'!$C$20)))</f>
        <v>0</v>
      </c>
      <c r="CV285" s="42" t="str">
        <f>IFERROR((AVERAGE(Z285:AG285)*2-'基本数据输入&amp;测算结果'!$C$24*2)/'基本数据输入&amp;测算结果'!$C$21/'基本数据输入&amp;测算结果'!$C$22,"无数据/数据缺失")</f>
        <v>无数据/数据缺失</v>
      </c>
      <c r="CW285" s="42">
        <f>IF(CV285&lt;0,0,IF(CV285="无数据/数据缺失",0%,IF(CV285&gt;'基本数据输入&amp;测算结果'!$C$20*CU285,CU285,CV285/'基本数据输入&amp;测算结果'!$C$20*CU285)))</f>
        <v>0</v>
      </c>
      <c r="CX285" s="42" t="str">
        <f>IFERROR(('基本数据输入&amp;测算结果'!$C$19*3-AVERAGE(AT285:BE285)*3-'基本数据输入&amp;测算结果'!$C$23*3)/'基本数据输入&amp;测算结果'!$C$21*'基本数据输入&amp;测算结果'!$C$22,"无数据/数据缺失")</f>
        <v>无数据/数据缺失</v>
      </c>
      <c r="CY285" s="42">
        <f>IF(CX285&lt;0,0,IF(CX285="无数据/数据缺失",0%,IF(CX285&gt;'基本数据输入&amp;测算结果'!$C$20,100%,CX285/'基本数据输入&amp;测算结果'!$C$20)))</f>
        <v>0</v>
      </c>
      <c r="CZ285" s="42" t="str">
        <f>IFERROR((AVERAGE(BN285:CK285)*6-'基本数据输入&amp;测算结果'!$C$24*6)/'基本数据输入&amp;测算结果'!$C$21/'基本数据输入&amp;测算结果'!$C$22,"无数据/数据缺失")</f>
        <v>无数据/数据缺失</v>
      </c>
      <c r="DA285" s="42">
        <f>IF(CZ285&lt;0,0,IF(CZ285="无数据/数据缺失",0,IF('基本数据输入&amp;测算结果'!$C$20*CY285&gt;CZ285,CZ285/'基本数据输入&amp;测算结果'!$C$20*CY285,CY285)))</f>
        <v>0</v>
      </c>
      <c r="DB285" s="49">
        <f t="shared" si="13"/>
        <v>0</v>
      </c>
      <c r="DC285" s="50"/>
      <c r="DD285" s="50"/>
    </row>
    <row r="286" customHeight="1" spans="1:108">
      <c r="A286" s="52" t="s">
        <v>340</v>
      </c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51"/>
      <c r="AJ286" s="51"/>
      <c r="AK286" s="51"/>
      <c r="AL286" s="51"/>
      <c r="AM286" s="51"/>
      <c r="AN286" s="51"/>
      <c r="AO286" s="51"/>
      <c r="AP286" s="51"/>
      <c r="AQ286" s="51"/>
      <c r="AR286" s="51"/>
      <c r="AS286" s="51"/>
      <c r="AT286" s="51"/>
      <c r="AU286" s="51"/>
      <c r="AV286" s="51"/>
      <c r="AW286" s="51"/>
      <c r="AX286" s="51"/>
      <c r="AY286" s="51"/>
      <c r="AZ286" s="51"/>
      <c r="BA286" s="51"/>
      <c r="BB286" s="51"/>
      <c r="BC286" s="51"/>
      <c r="BD286" s="51"/>
      <c r="BE286" s="51"/>
      <c r="BF286" s="51"/>
      <c r="BG286" s="51"/>
      <c r="BH286" s="51"/>
      <c r="BI286" s="51"/>
      <c r="BJ286" s="51"/>
      <c r="BK286" s="51"/>
      <c r="BL286" s="51"/>
      <c r="BM286" s="51"/>
      <c r="BN286" s="51"/>
      <c r="BO286" s="51"/>
      <c r="BP286" s="51"/>
      <c r="BQ286" s="51"/>
      <c r="BR286" s="51"/>
      <c r="BS286" s="51"/>
      <c r="BT286" s="51"/>
      <c r="BU286" s="51"/>
      <c r="BV286" s="51"/>
      <c r="BW286" s="51"/>
      <c r="BX286" s="51"/>
      <c r="BY286" s="51"/>
      <c r="BZ286" s="51"/>
      <c r="CA286" s="51"/>
      <c r="CB286" s="51"/>
      <c r="CC286" s="51"/>
      <c r="CD286" s="51"/>
      <c r="CE286" s="51"/>
      <c r="CF286" s="51"/>
      <c r="CG286" s="51"/>
      <c r="CH286" s="51"/>
      <c r="CI286" s="51"/>
      <c r="CJ286" s="51"/>
      <c r="CK286" s="51"/>
      <c r="CL286" s="51"/>
      <c r="CM286" s="51"/>
      <c r="CN286" s="51"/>
      <c r="CO286" s="51"/>
      <c r="CP286" s="51"/>
      <c r="CQ286" s="51"/>
      <c r="CR286" s="51"/>
      <c r="CS286" s="51"/>
      <c r="CT286" s="42" t="str">
        <f>IFERROR(('基本数据输入&amp;测算结果'!$C$19*7-AVERAGE(B286:Y286,CP286:CS286)*7-'基本数据输入&amp;测算结果'!$C$23*7)/'基本数据输入&amp;测算结果'!$C$21*'基本数据输入&amp;测算结果'!$C$22,"无数据/数据缺失")</f>
        <v>无数据/数据缺失</v>
      </c>
      <c r="CU286" s="42">
        <f>IF(CT286&lt;0,0,IF(CT286="无数据/数据缺失",0%,IF(CT286&gt;'基本数据输入&amp;测算结果'!$C$20,100%,CT286/'基本数据输入&amp;测算结果'!$C$20)))</f>
        <v>0</v>
      </c>
      <c r="CV286" s="42" t="str">
        <f>IFERROR((AVERAGE(Z286:AG286)*2-'基本数据输入&amp;测算结果'!$C$24*2)/'基本数据输入&amp;测算结果'!$C$21/'基本数据输入&amp;测算结果'!$C$22,"无数据/数据缺失")</f>
        <v>无数据/数据缺失</v>
      </c>
      <c r="CW286" s="42">
        <f>IF(CV286&lt;0,0,IF(CV286="无数据/数据缺失",0%,IF(CV286&gt;'基本数据输入&amp;测算结果'!$C$20*CU286,CU286,CV286/'基本数据输入&amp;测算结果'!$C$20*CU286)))</f>
        <v>0</v>
      </c>
      <c r="CX286" s="42" t="str">
        <f>IFERROR(('基本数据输入&amp;测算结果'!$C$19*3-AVERAGE(AT286:BE286)*3-'基本数据输入&amp;测算结果'!$C$23*3)/'基本数据输入&amp;测算结果'!$C$21*'基本数据输入&amp;测算结果'!$C$22,"无数据/数据缺失")</f>
        <v>无数据/数据缺失</v>
      </c>
      <c r="CY286" s="42">
        <f>IF(CX286&lt;0,0,IF(CX286="无数据/数据缺失",0%,IF(CX286&gt;'基本数据输入&amp;测算结果'!$C$20,100%,CX286/'基本数据输入&amp;测算结果'!$C$20)))</f>
        <v>0</v>
      </c>
      <c r="CZ286" s="42" t="str">
        <f>IFERROR((AVERAGE(BN286:CK286)*6-'基本数据输入&amp;测算结果'!$C$24*6)/'基本数据输入&amp;测算结果'!$C$21/'基本数据输入&amp;测算结果'!$C$22,"无数据/数据缺失")</f>
        <v>无数据/数据缺失</v>
      </c>
      <c r="DA286" s="42">
        <f>IF(CZ286&lt;0,0,IF(CZ286="无数据/数据缺失",0,IF('基本数据输入&amp;测算结果'!$C$20*CY286&gt;CZ286,CZ286/'基本数据输入&amp;测算结果'!$C$20*CY286,CY286)))</f>
        <v>0</v>
      </c>
      <c r="DB286" s="49">
        <f t="shared" si="13"/>
        <v>0</v>
      </c>
      <c r="DC286" s="50"/>
      <c r="DD286" s="50"/>
    </row>
    <row r="287" customHeight="1" spans="1:108">
      <c r="A287" s="52" t="s">
        <v>341</v>
      </c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51"/>
      <c r="AJ287" s="51"/>
      <c r="AK287" s="51"/>
      <c r="AL287" s="51"/>
      <c r="AM287" s="51"/>
      <c r="AN287" s="51"/>
      <c r="AO287" s="51"/>
      <c r="AP287" s="51"/>
      <c r="AQ287" s="51"/>
      <c r="AR287" s="51"/>
      <c r="AS287" s="51"/>
      <c r="AT287" s="51"/>
      <c r="AU287" s="51"/>
      <c r="AV287" s="51"/>
      <c r="AW287" s="51"/>
      <c r="AX287" s="51"/>
      <c r="AY287" s="51"/>
      <c r="AZ287" s="51"/>
      <c r="BA287" s="51"/>
      <c r="BB287" s="51"/>
      <c r="BC287" s="51"/>
      <c r="BD287" s="51"/>
      <c r="BE287" s="51"/>
      <c r="BF287" s="51"/>
      <c r="BG287" s="51"/>
      <c r="BH287" s="51"/>
      <c r="BI287" s="51"/>
      <c r="BJ287" s="51"/>
      <c r="BK287" s="51"/>
      <c r="BL287" s="51"/>
      <c r="BM287" s="51"/>
      <c r="BN287" s="51"/>
      <c r="BO287" s="51"/>
      <c r="BP287" s="51"/>
      <c r="BQ287" s="51"/>
      <c r="BR287" s="51"/>
      <c r="BS287" s="51"/>
      <c r="BT287" s="51"/>
      <c r="BU287" s="51"/>
      <c r="BV287" s="51"/>
      <c r="BW287" s="51"/>
      <c r="BX287" s="51"/>
      <c r="BY287" s="51"/>
      <c r="BZ287" s="51"/>
      <c r="CA287" s="51"/>
      <c r="CB287" s="51"/>
      <c r="CC287" s="51"/>
      <c r="CD287" s="51"/>
      <c r="CE287" s="51"/>
      <c r="CF287" s="51"/>
      <c r="CG287" s="51"/>
      <c r="CH287" s="51"/>
      <c r="CI287" s="51"/>
      <c r="CJ287" s="51"/>
      <c r="CK287" s="51"/>
      <c r="CL287" s="51"/>
      <c r="CM287" s="51"/>
      <c r="CN287" s="51"/>
      <c r="CO287" s="51"/>
      <c r="CP287" s="51"/>
      <c r="CQ287" s="51"/>
      <c r="CR287" s="51"/>
      <c r="CS287" s="51"/>
      <c r="CT287" s="42" t="str">
        <f>IFERROR(('基本数据输入&amp;测算结果'!$C$19*7-AVERAGE(B287:Y287,CP287:CS287)*7-'基本数据输入&amp;测算结果'!$C$23*7)/'基本数据输入&amp;测算结果'!$C$21*'基本数据输入&amp;测算结果'!$C$22,"无数据/数据缺失")</f>
        <v>无数据/数据缺失</v>
      </c>
      <c r="CU287" s="42">
        <f>IF(CT287&lt;0,0,IF(CT287="无数据/数据缺失",0%,IF(CT287&gt;'基本数据输入&amp;测算结果'!$C$20,100%,CT287/'基本数据输入&amp;测算结果'!$C$20)))</f>
        <v>0</v>
      </c>
      <c r="CV287" s="42" t="str">
        <f>IFERROR((AVERAGE(Z287:AG287)*2-'基本数据输入&amp;测算结果'!$C$24*2)/'基本数据输入&amp;测算结果'!$C$21/'基本数据输入&amp;测算结果'!$C$22,"无数据/数据缺失")</f>
        <v>无数据/数据缺失</v>
      </c>
      <c r="CW287" s="42">
        <f>IF(CV287&lt;0,0,IF(CV287="无数据/数据缺失",0%,IF(CV287&gt;'基本数据输入&amp;测算结果'!$C$20*CU287,CU287,CV287/'基本数据输入&amp;测算结果'!$C$20*CU287)))</f>
        <v>0</v>
      </c>
      <c r="CX287" s="42" t="str">
        <f>IFERROR(('基本数据输入&amp;测算结果'!$C$19*3-AVERAGE(AT287:BE287)*3-'基本数据输入&amp;测算结果'!$C$23*3)/'基本数据输入&amp;测算结果'!$C$21*'基本数据输入&amp;测算结果'!$C$22,"无数据/数据缺失")</f>
        <v>无数据/数据缺失</v>
      </c>
      <c r="CY287" s="42">
        <f>IF(CX287&lt;0,0,IF(CX287="无数据/数据缺失",0%,IF(CX287&gt;'基本数据输入&amp;测算结果'!$C$20,100%,CX287/'基本数据输入&amp;测算结果'!$C$20)))</f>
        <v>0</v>
      </c>
      <c r="CZ287" s="42" t="str">
        <f>IFERROR((AVERAGE(BN287:CK287)*6-'基本数据输入&amp;测算结果'!$C$24*6)/'基本数据输入&amp;测算结果'!$C$21/'基本数据输入&amp;测算结果'!$C$22,"无数据/数据缺失")</f>
        <v>无数据/数据缺失</v>
      </c>
      <c r="DA287" s="42">
        <f>IF(CZ287&lt;0,0,IF(CZ287="无数据/数据缺失",0,IF('基本数据输入&amp;测算结果'!$C$20*CY287&gt;CZ287,CZ287/'基本数据输入&amp;测算结果'!$C$20*CY287,CY287)))</f>
        <v>0</v>
      </c>
      <c r="DB287" s="49">
        <f t="shared" si="13"/>
        <v>0</v>
      </c>
      <c r="DC287" s="50"/>
      <c r="DD287" s="50"/>
    </row>
    <row r="288" customHeight="1" spans="1:108">
      <c r="A288" s="52" t="s">
        <v>342</v>
      </c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1"/>
      <c r="AN288" s="51"/>
      <c r="AO288" s="51"/>
      <c r="AP288" s="51"/>
      <c r="AQ288" s="51"/>
      <c r="AR288" s="51"/>
      <c r="AS288" s="51"/>
      <c r="AT288" s="51"/>
      <c r="AU288" s="51"/>
      <c r="AV288" s="51"/>
      <c r="AW288" s="51"/>
      <c r="AX288" s="51"/>
      <c r="AY288" s="51"/>
      <c r="AZ288" s="51"/>
      <c r="BA288" s="51"/>
      <c r="BB288" s="51"/>
      <c r="BC288" s="51"/>
      <c r="BD288" s="51"/>
      <c r="BE288" s="51"/>
      <c r="BF288" s="51"/>
      <c r="BG288" s="51"/>
      <c r="BH288" s="51"/>
      <c r="BI288" s="51"/>
      <c r="BJ288" s="51"/>
      <c r="BK288" s="51"/>
      <c r="BL288" s="51"/>
      <c r="BM288" s="51"/>
      <c r="BN288" s="51"/>
      <c r="BO288" s="51"/>
      <c r="BP288" s="51"/>
      <c r="BQ288" s="51"/>
      <c r="BR288" s="51"/>
      <c r="BS288" s="51"/>
      <c r="BT288" s="51"/>
      <c r="BU288" s="51"/>
      <c r="BV288" s="51"/>
      <c r="BW288" s="51"/>
      <c r="BX288" s="51"/>
      <c r="BY288" s="51"/>
      <c r="BZ288" s="51"/>
      <c r="CA288" s="51"/>
      <c r="CB288" s="51"/>
      <c r="CC288" s="51"/>
      <c r="CD288" s="51"/>
      <c r="CE288" s="51"/>
      <c r="CF288" s="51"/>
      <c r="CG288" s="51"/>
      <c r="CH288" s="51"/>
      <c r="CI288" s="51"/>
      <c r="CJ288" s="51"/>
      <c r="CK288" s="51"/>
      <c r="CL288" s="51"/>
      <c r="CM288" s="51"/>
      <c r="CN288" s="51"/>
      <c r="CO288" s="51"/>
      <c r="CP288" s="51"/>
      <c r="CQ288" s="51"/>
      <c r="CR288" s="51"/>
      <c r="CS288" s="51"/>
      <c r="CT288" s="42" t="str">
        <f>IFERROR(('基本数据输入&amp;测算结果'!$C$19*7-AVERAGE(B288:Y288,CP288:CS288)*7-'基本数据输入&amp;测算结果'!$C$23*7)/'基本数据输入&amp;测算结果'!$C$21*'基本数据输入&amp;测算结果'!$C$22,"无数据/数据缺失")</f>
        <v>无数据/数据缺失</v>
      </c>
      <c r="CU288" s="42">
        <f>IF(CT288&lt;0,0,IF(CT288="无数据/数据缺失",0%,IF(CT288&gt;'基本数据输入&amp;测算结果'!$C$20,100%,CT288/'基本数据输入&amp;测算结果'!$C$20)))</f>
        <v>0</v>
      </c>
      <c r="CV288" s="42" t="str">
        <f>IFERROR((AVERAGE(Z288:AG288)*2-'基本数据输入&amp;测算结果'!$C$24*2)/'基本数据输入&amp;测算结果'!$C$21/'基本数据输入&amp;测算结果'!$C$22,"无数据/数据缺失")</f>
        <v>无数据/数据缺失</v>
      </c>
      <c r="CW288" s="42">
        <f>IF(CV288&lt;0,0,IF(CV288="无数据/数据缺失",0%,IF(CV288&gt;'基本数据输入&amp;测算结果'!$C$20*CU288,CU288,CV288/'基本数据输入&amp;测算结果'!$C$20*CU288)))</f>
        <v>0</v>
      </c>
      <c r="CX288" s="42" t="str">
        <f>IFERROR(('基本数据输入&amp;测算结果'!$C$19*3-AVERAGE(AT288:BE288)*3-'基本数据输入&amp;测算结果'!$C$23*3)/'基本数据输入&amp;测算结果'!$C$21*'基本数据输入&amp;测算结果'!$C$22,"无数据/数据缺失")</f>
        <v>无数据/数据缺失</v>
      </c>
      <c r="CY288" s="42">
        <f>IF(CX288&lt;0,0,IF(CX288="无数据/数据缺失",0%,IF(CX288&gt;'基本数据输入&amp;测算结果'!$C$20,100%,CX288/'基本数据输入&amp;测算结果'!$C$20)))</f>
        <v>0</v>
      </c>
      <c r="CZ288" s="42" t="str">
        <f>IFERROR((AVERAGE(BN288:CK288)*6-'基本数据输入&amp;测算结果'!$C$24*6)/'基本数据输入&amp;测算结果'!$C$21/'基本数据输入&amp;测算结果'!$C$22,"无数据/数据缺失")</f>
        <v>无数据/数据缺失</v>
      </c>
      <c r="DA288" s="42">
        <f>IF(CZ288&lt;0,0,IF(CZ288="无数据/数据缺失",0,IF('基本数据输入&amp;测算结果'!$C$20*CY288&gt;CZ288,CZ288/'基本数据输入&amp;测算结果'!$C$20*CY288,CY288)))</f>
        <v>0</v>
      </c>
      <c r="DB288" s="49">
        <f t="shared" si="13"/>
        <v>0</v>
      </c>
      <c r="DC288" s="50"/>
      <c r="DD288" s="50"/>
    </row>
    <row r="289" customHeight="1" spans="1:108">
      <c r="A289" s="52" t="s">
        <v>343</v>
      </c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  <c r="AI289" s="51"/>
      <c r="AJ289" s="51"/>
      <c r="AK289" s="51"/>
      <c r="AL289" s="51"/>
      <c r="AM289" s="51"/>
      <c r="AN289" s="51"/>
      <c r="AO289" s="51"/>
      <c r="AP289" s="51"/>
      <c r="AQ289" s="51"/>
      <c r="AR289" s="51"/>
      <c r="AS289" s="51"/>
      <c r="AT289" s="51"/>
      <c r="AU289" s="51"/>
      <c r="AV289" s="51"/>
      <c r="AW289" s="51"/>
      <c r="AX289" s="51"/>
      <c r="AY289" s="51"/>
      <c r="AZ289" s="51"/>
      <c r="BA289" s="51"/>
      <c r="BB289" s="51"/>
      <c r="BC289" s="51"/>
      <c r="BD289" s="51"/>
      <c r="BE289" s="51"/>
      <c r="BF289" s="51"/>
      <c r="BG289" s="51"/>
      <c r="BH289" s="51"/>
      <c r="BI289" s="51"/>
      <c r="BJ289" s="51"/>
      <c r="BK289" s="51"/>
      <c r="BL289" s="51"/>
      <c r="BM289" s="51"/>
      <c r="BN289" s="51"/>
      <c r="BO289" s="51"/>
      <c r="BP289" s="51"/>
      <c r="BQ289" s="51"/>
      <c r="BR289" s="51"/>
      <c r="BS289" s="51"/>
      <c r="BT289" s="51"/>
      <c r="BU289" s="51"/>
      <c r="BV289" s="51"/>
      <c r="BW289" s="51"/>
      <c r="BX289" s="51"/>
      <c r="BY289" s="51"/>
      <c r="BZ289" s="51"/>
      <c r="CA289" s="51"/>
      <c r="CB289" s="51"/>
      <c r="CC289" s="51"/>
      <c r="CD289" s="51"/>
      <c r="CE289" s="51"/>
      <c r="CF289" s="51"/>
      <c r="CG289" s="51"/>
      <c r="CH289" s="51"/>
      <c r="CI289" s="51"/>
      <c r="CJ289" s="51"/>
      <c r="CK289" s="51"/>
      <c r="CL289" s="51"/>
      <c r="CM289" s="51"/>
      <c r="CN289" s="51"/>
      <c r="CO289" s="51"/>
      <c r="CP289" s="51"/>
      <c r="CQ289" s="51"/>
      <c r="CR289" s="51"/>
      <c r="CS289" s="51"/>
      <c r="CT289" s="42" t="str">
        <f>IFERROR(('基本数据输入&amp;测算结果'!$C$19*7-AVERAGE(B289:Y289,CP289:CS289)*7-'基本数据输入&amp;测算结果'!$C$23*7)/'基本数据输入&amp;测算结果'!$C$21*'基本数据输入&amp;测算结果'!$C$22,"无数据/数据缺失")</f>
        <v>无数据/数据缺失</v>
      </c>
      <c r="CU289" s="42">
        <f>IF(CT289&lt;0,0,IF(CT289="无数据/数据缺失",0%,IF(CT289&gt;'基本数据输入&amp;测算结果'!$C$20,100%,CT289/'基本数据输入&amp;测算结果'!$C$20)))</f>
        <v>0</v>
      </c>
      <c r="CV289" s="42" t="str">
        <f>IFERROR((AVERAGE(Z289:AG289)*2-'基本数据输入&amp;测算结果'!$C$24*2)/'基本数据输入&amp;测算结果'!$C$21/'基本数据输入&amp;测算结果'!$C$22,"无数据/数据缺失")</f>
        <v>无数据/数据缺失</v>
      </c>
      <c r="CW289" s="42">
        <f>IF(CV289&lt;0,0,IF(CV289="无数据/数据缺失",0%,IF(CV289&gt;'基本数据输入&amp;测算结果'!$C$20*CU289,CU289,CV289/'基本数据输入&amp;测算结果'!$C$20*CU289)))</f>
        <v>0</v>
      </c>
      <c r="CX289" s="42" t="str">
        <f>IFERROR(('基本数据输入&amp;测算结果'!$C$19*3-AVERAGE(AT289:BE289)*3-'基本数据输入&amp;测算结果'!$C$23*3)/'基本数据输入&amp;测算结果'!$C$21*'基本数据输入&amp;测算结果'!$C$22,"无数据/数据缺失")</f>
        <v>无数据/数据缺失</v>
      </c>
      <c r="CY289" s="42">
        <f>IF(CX289&lt;0,0,IF(CX289="无数据/数据缺失",0%,IF(CX289&gt;'基本数据输入&amp;测算结果'!$C$20,100%,CX289/'基本数据输入&amp;测算结果'!$C$20)))</f>
        <v>0</v>
      </c>
      <c r="CZ289" s="42" t="str">
        <f>IFERROR((AVERAGE(BN289:CK289)*6-'基本数据输入&amp;测算结果'!$C$24*6)/'基本数据输入&amp;测算结果'!$C$21/'基本数据输入&amp;测算结果'!$C$22,"无数据/数据缺失")</f>
        <v>无数据/数据缺失</v>
      </c>
      <c r="DA289" s="42">
        <f>IF(CZ289&lt;0,0,IF(CZ289="无数据/数据缺失",0,IF('基本数据输入&amp;测算结果'!$C$20*CY289&gt;CZ289,CZ289/'基本数据输入&amp;测算结果'!$C$20*CY289,CY289)))</f>
        <v>0</v>
      </c>
      <c r="DB289" s="49">
        <f t="shared" si="13"/>
        <v>0</v>
      </c>
      <c r="DC289" s="50"/>
      <c r="DD289" s="50"/>
    </row>
    <row r="290" customHeight="1" spans="1:108">
      <c r="A290" s="52" t="s">
        <v>344</v>
      </c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  <c r="AJ290" s="51"/>
      <c r="AK290" s="51"/>
      <c r="AL290" s="51"/>
      <c r="AM290" s="51"/>
      <c r="AN290" s="51"/>
      <c r="AO290" s="51"/>
      <c r="AP290" s="51"/>
      <c r="AQ290" s="51"/>
      <c r="AR290" s="51"/>
      <c r="AS290" s="51"/>
      <c r="AT290" s="51"/>
      <c r="AU290" s="51"/>
      <c r="AV290" s="51"/>
      <c r="AW290" s="51"/>
      <c r="AX290" s="51"/>
      <c r="AY290" s="51"/>
      <c r="AZ290" s="51"/>
      <c r="BA290" s="51"/>
      <c r="BB290" s="51"/>
      <c r="BC290" s="51"/>
      <c r="BD290" s="51"/>
      <c r="BE290" s="51"/>
      <c r="BF290" s="51"/>
      <c r="BG290" s="51"/>
      <c r="BH290" s="51"/>
      <c r="BI290" s="51"/>
      <c r="BJ290" s="51"/>
      <c r="BK290" s="51"/>
      <c r="BL290" s="51"/>
      <c r="BM290" s="51"/>
      <c r="BN290" s="51"/>
      <c r="BO290" s="51"/>
      <c r="BP290" s="51"/>
      <c r="BQ290" s="51"/>
      <c r="BR290" s="51"/>
      <c r="BS290" s="51"/>
      <c r="BT290" s="51"/>
      <c r="BU290" s="51"/>
      <c r="BV290" s="51"/>
      <c r="BW290" s="51"/>
      <c r="BX290" s="51"/>
      <c r="BY290" s="51"/>
      <c r="BZ290" s="51"/>
      <c r="CA290" s="51"/>
      <c r="CB290" s="51"/>
      <c r="CC290" s="51"/>
      <c r="CD290" s="51"/>
      <c r="CE290" s="51"/>
      <c r="CF290" s="51"/>
      <c r="CG290" s="51"/>
      <c r="CH290" s="51"/>
      <c r="CI290" s="51"/>
      <c r="CJ290" s="51"/>
      <c r="CK290" s="51"/>
      <c r="CL290" s="51"/>
      <c r="CM290" s="51"/>
      <c r="CN290" s="51"/>
      <c r="CO290" s="51"/>
      <c r="CP290" s="51"/>
      <c r="CQ290" s="51"/>
      <c r="CR290" s="51"/>
      <c r="CS290" s="51"/>
      <c r="CT290" s="42" t="str">
        <f>IFERROR(('基本数据输入&amp;测算结果'!$C$19*7-AVERAGE(B290:Y290,CP290:CS290)*7-'基本数据输入&amp;测算结果'!$C$23*7)/'基本数据输入&amp;测算结果'!$C$21*'基本数据输入&amp;测算结果'!$C$22,"无数据/数据缺失")</f>
        <v>无数据/数据缺失</v>
      </c>
      <c r="CU290" s="42">
        <f>IF(CT290&lt;0,0,IF(CT290="无数据/数据缺失",0%,IF(CT290&gt;'基本数据输入&amp;测算结果'!$C$20,100%,CT290/'基本数据输入&amp;测算结果'!$C$20)))</f>
        <v>0</v>
      </c>
      <c r="CV290" s="42" t="str">
        <f>IFERROR((AVERAGE(Z290:AG290)*2-'基本数据输入&amp;测算结果'!$C$24*2)/'基本数据输入&amp;测算结果'!$C$21/'基本数据输入&amp;测算结果'!$C$22,"无数据/数据缺失")</f>
        <v>无数据/数据缺失</v>
      </c>
      <c r="CW290" s="42">
        <f>IF(CV290&lt;0,0,IF(CV290="无数据/数据缺失",0%,IF(CV290&gt;'基本数据输入&amp;测算结果'!$C$20*CU290,CU290,CV290/'基本数据输入&amp;测算结果'!$C$20*CU290)))</f>
        <v>0</v>
      </c>
      <c r="CX290" s="42" t="str">
        <f>IFERROR(('基本数据输入&amp;测算结果'!$C$19*3-AVERAGE(AT290:BE290)*3-'基本数据输入&amp;测算结果'!$C$23*3)/'基本数据输入&amp;测算结果'!$C$21*'基本数据输入&amp;测算结果'!$C$22,"无数据/数据缺失")</f>
        <v>无数据/数据缺失</v>
      </c>
      <c r="CY290" s="42">
        <f>IF(CX290&lt;0,0,IF(CX290="无数据/数据缺失",0%,IF(CX290&gt;'基本数据输入&amp;测算结果'!$C$20,100%,CX290/'基本数据输入&amp;测算结果'!$C$20)))</f>
        <v>0</v>
      </c>
      <c r="CZ290" s="42" t="str">
        <f>IFERROR((AVERAGE(BN290:CK290)*6-'基本数据输入&amp;测算结果'!$C$24*6)/'基本数据输入&amp;测算结果'!$C$21/'基本数据输入&amp;测算结果'!$C$22,"无数据/数据缺失")</f>
        <v>无数据/数据缺失</v>
      </c>
      <c r="DA290" s="42">
        <f>IF(CZ290&lt;0,0,IF(CZ290="无数据/数据缺失",0,IF('基本数据输入&amp;测算结果'!$C$20*CY290&gt;CZ290,CZ290/'基本数据输入&amp;测算结果'!$C$20*CY290,CY290)))</f>
        <v>0</v>
      </c>
      <c r="DB290" s="49">
        <f t="shared" si="13"/>
        <v>0</v>
      </c>
      <c r="DC290" s="50"/>
      <c r="DD290" s="50"/>
    </row>
    <row r="291" customHeight="1" spans="1:108">
      <c r="A291" s="52" t="s">
        <v>345</v>
      </c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  <c r="AI291" s="51"/>
      <c r="AJ291" s="51"/>
      <c r="AK291" s="51"/>
      <c r="AL291" s="51"/>
      <c r="AM291" s="51"/>
      <c r="AN291" s="51"/>
      <c r="AO291" s="51"/>
      <c r="AP291" s="51"/>
      <c r="AQ291" s="51"/>
      <c r="AR291" s="51"/>
      <c r="AS291" s="51"/>
      <c r="AT291" s="51"/>
      <c r="AU291" s="51"/>
      <c r="AV291" s="51"/>
      <c r="AW291" s="51"/>
      <c r="AX291" s="51"/>
      <c r="AY291" s="51"/>
      <c r="AZ291" s="51"/>
      <c r="BA291" s="51"/>
      <c r="BB291" s="51"/>
      <c r="BC291" s="51"/>
      <c r="BD291" s="51"/>
      <c r="BE291" s="51"/>
      <c r="BF291" s="51"/>
      <c r="BG291" s="51"/>
      <c r="BH291" s="51"/>
      <c r="BI291" s="51"/>
      <c r="BJ291" s="51"/>
      <c r="BK291" s="51"/>
      <c r="BL291" s="51"/>
      <c r="BM291" s="51"/>
      <c r="BN291" s="51"/>
      <c r="BO291" s="51"/>
      <c r="BP291" s="51"/>
      <c r="BQ291" s="51"/>
      <c r="BR291" s="51"/>
      <c r="BS291" s="51"/>
      <c r="BT291" s="51"/>
      <c r="BU291" s="51"/>
      <c r="BV291" s="51"/>
      <c r="BW291" s="51"/>
      <c r="BX291" s="51"/>
      <c r="BY291" s="51"/>
      <c r="BZ291" s="51"/>
      <c r="CA291" s="51"/>
      <c r="CB291" s="51"/>
      <c r="CC291" s="51"/>
      <c r="CD291" s="51"/>
      <c r="CE291" s="51"/>
      <c r="CF291" s="51"/>
      <c r="CG291" s="51"/>
      <c r="CH291" s="51"/>
      <c r="CI291" s="51"/>
      <c r="CJ291" s="51"/>
      <c r="CK291" s="51"/>
      <c r="CL291" s="51"/>
      <c r="CM291" s="51"/>
      <c r="CN291" s="51"/>
      <c r="CO291" s="51"/>
      <c r="CP291" s="51"/>
      <c r="CQ291" s="51"/>
      <c r="CR291" s="51"/>
      <c r="CS291" s="51"/>
      <c r="CT291" s="42" t="str">
        <f>IFERROR(('基本数据输入&amp;测算结果'!$C$19*7-AVERAGE(B291:Y291,CP291:CS291)*7-'基本数据输入&amp;测算结果'!$C$23*7)/'基本数据输入&amp;测算结果'!$C$21*'基本数据输入&amp;测算结果'!$C$22,"无数据/数据缺失")</f>
        <v>无数据/数据缺失</v>
      </c>
      <c r="CU291" s="42">
        <f>IF(CT291&lt;0,0,IF(CT291="无数据/数据缺失",0%,IF(CT291&gt;'基本数据输入&amp;测算结果'!$C$20,100%,CT291/'基本数据输入&amp;测算结果'!$C$20)))</f>
        <v>0</v>
      </c>
      <c r="CV291" s="42" t="str">
        <f>IFERROR((AVERAGE(Z291:AG291)*2-'基本数据输入&amp;测算结果'!$C$24*2)/'基本数据输入&amp;测算结果'!$C$21/'基本数据输入&amp;测算结果'!$C$22,"无数据/数据缺失")</f>
        <v>无数据/数据缺失</v>
      </c>
      <c r="CW291" s="42">
        <f>IF(CV291&lt;0,0,IF(CV291="无数据/数据缺失",0%,IF(CV291&gt;'基本数据输入&amp;测算结果'!$C$20*CU291,CU291,CV291/'基本数据输入&amp;测算结果'!$C$20*CU291)))</f>
        <v>0</v>
      </c>
      <c r="CX291" s="42" t="str">
        <f>IFERROR(('基本数据输入&amp;测算结果'!$C$19*3-AVERAGE(AT291:BE291)*3-'基本数据输入&amp;测算结果'!$C$23*3)/'基本数据输入&amp;测算结果'!$C$21*'基本数据输入&amp;测算结果'!$C$22,"无数据/数据缺失")</f>
        <v>无数据/数据缺失</v>
      </c>
      <c r="CY291" s="42">
        <f>IF(CX291&lt;0,0,IF(CX291="无数据/数据缺失",0%,IF(CX291&gt;'基本数据输入&amp;测算结果'!$C$20,100%,CX291/'基本数据输入&amp;测算结果'!$C$20)))</f>
        <v>0</v>
      </c>
      <c r="CZ291" s="42" t="str">
        <f>IFERROR((AVERAGE(BN291:CK291)*6-'基本数据输入&amp;测算结果'!$C$24*6)/'基本数据输入&amp;测算结果'!$C$21/'基本数据输入&amp;测算结果'!$C$22,"无数据/数据缺失")</f>
        <v>无数据/数据缺失</v>
      </c>
      <c r="DA291" s="42">
        <f>IF(CZ291&lt;0,0,IF(CZ291="无数据/数据缺失",0,IF('基本数据输入&amp;测算结果'!$C$20*CY291&gt;CZ291,CZ291/'基本数据输入&amp;测算结果'!$C$20*CY291,CY291)))</f>
        <v>0</v>
      </c>
      <c r="DB291" s="49">
        <f t="shared" si="13"/>
        <v>0</v>
      </c>
      <c r="DC291" s="50"/>
      <c r="DD291" s="50"/>
    </row>
    <row r="292" customHeight="1" spans="1:108">
      <c r="A292" s="52" t="s">
        <v>346</v>
      </c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  <c r="AI292" s="51"/>
      <c r="AJ292" s="51"/>
      <c r="AK292" s="51"/>
      <c r="AL292" s="51"/>
      <c r="AM292" s="51"/>
      <c r="AN292" s="51"/>
      <c r="AO292" s="51"/>
      <c r="AP292" s="51"/>
      <c r="AQ292" s="51"/>
      <c r="AR292" s="51"/>
      <c r="AS292" s="51"/>
      <c r="AT292" s="51"/>
      <c r="AU292" s="51"/>
      <c r="AV292" s="51"/>
      <c r="AW292" s="51"/>
      <c r="AX292" s="51"/>
      <c r="AY292" s="51"/>
      <c r="AZ292" s="51"/>
      <c r="BA292" s="51"/>
      <c r="BB292" s="51"/>
      <c r="BC292" s="51"/>
      <c r="BD292" s="51"/>
      <c r="BE292" s="51"/>
      <c r="BF292" s="51"/>
      <c r="BG292" s="51"/>
      <c r="BH292" s="51"/>
      <c r="BI292" s="51"/>
      <c r="BJ292" s="51"/>
      <c r="BK292" s="51"/>
      <c r="BL292" s="51"/>
      <c r="BM292" s="51"/>
      <c r="BN292" s="51"/>
      <c r="BO292" s="51"/>
      <c r="BP292" s="51"/>
      <c r="BQ292" s="51"/>
      <c r="BR292" s="51"/>
      <c r="BS292" s="51"/>
      <c r="BT292" s="51"/>
      <c r="BU292" s="51"/>
      <c r="BV292" s="51"/>
      <c r="BW292" s="51"/>
      <c r="BX292" s="51"/>
      <c r="BY292" s="51"/>
      <c r="BZ292" s="51"/>
      <c r="CA292" s="51"/>
      <c r="CB292" s="51"/>
      <c r="CC292" s="51"/>
      <c r="CD292" s="51"/>
      <c r="CE292" s="51"/>
      <c r="CF292" s="51"/>
      <c r="CG292" s="51"/>
      <c r="CH292" s="51"/>
      <c r="CI292" s="51"/>
      <c r="CJ292" s="51"/>
      <c r="CK292" s="51"/>
      <c r="CL292" s="51"/>
      <c r="CM292" s="51"/>
      <c r="CN292" s="51"/>
      <c r="CO292" s="51"/>
      <c r="CP292" s="51"/>
      <c r="CQ292" s="51"/>
      <c r="CR292" s="51"/>
      <c r="CS292" s="51"/>
      <c r="CT292" s="42" t="str">
        <f>IFERROR(('基本数据输入&amp;测算结果'!$C$19*7-AVERAGE(B292:Y292,CP292:CS292)*7-'基本数据输入&amp;测算结果'!$C$23*7)/'基本数据输入&amp;测算结果'!$C$21*'基本数据输入&amp;测算结果'!$C$22,"无数据/数据缺失")</f>
        <v>无数据/数据缺失</v>
      </c>
      <c r="CU292" s="42">
        <f>IF(CT292&lt;0,0,IF(CT292="无数据/数据缺失",0%,IF(CT292&gt;'基本数据输入&amp;测算结果'!$C$20,100%,CT292/'基本数据输入&amp;测算结果'!$C$20)))</f>
        <v>0</v>
      </c>
      <c r="CV292" s="42" t="str">
        <f>IFERROR((AVERAGE(Z292:AG292)*2-'基本数据输入&amp;测算结果'!$C$24*2)/'基本数据输入&amp;测算结果'!$C$21/'基本数据输入&amp;测算结果'!$C$22,"无数据/数据缺失")</f>
        <v>无数据/数据缺失</v>
      </c>
      <c r="CW292" s="42">
        <f>IF(CV292&lt;0,0,IF(CV292="无数据/数据缺失",0%,IF(CV292&gt;'基本数据输入&amp;测算结果'!$C$20*CU292,CU292,CV292/'基本数据输入&amp;测算结果'!$C$20*CU292)))</f>
        <v>0</v>
      </c>
      <c r="CX292" s="42" t="str">
        <f>IFERROR(('基本数据输入&amp;测算结果'!$C$19*3-AVERAGE(AT292:BE292)*3-'基本数据输入&amp;测算结果'!$C$23*3)/'基本数据输入&amp;测算结果'!$C$21*'基本数据输入&amp;测算结果'!$C$22,"无数据/数据缺失")</f>
        <v>无数据/数据缺失</v>
      </c>
      <c r="CY292" s="42">
        <f>IF(CX292&lt;0,0,IF(CX292="无数据/数据缺失",0%,IF(CX292&gt;'基本数据输入&amp;测算结果'!$C$20,100%,CX292/'基本数据输入&amp;测算结果'!$C$20)))</f>
        <v>0</v>
      </c>
      <c r="CZ292" s="42" t="str">
        <f>IFERROR((AVERAGE(BN292:CK292)*6-'基本数据输入&amp;测算结果'!$C$24*6)/'基本数据输入&amp;测算结果'!$C$21/'基本数据输入&amp;测算结果'!$C$22,"无数据/数据缺失")</f>
        <v>无数据/数据缺失</v>
      </c>
      <c r="DA292" s="42">
        <f>IF(CZ292&lt;0,0,IF(CZ292="无数据/数据缺失",0,IF('基本数据输入&amp;测算结果'!$C$20*CY292&gt;CZ292,CZ292/'基本数据输入&amp;测算结果'!$C$20*CY292,CY292)))</f>
        <v>0</v>
      </c>
      <c r="DB292" s="49">
        <f t="shared" si="13"/>
        <v>0</v>
      </c>
      <c r="DC292" s="50"/>
      <c r="DD292" s="50"/>
    </row>
    <row r="293" customHeight="1" spans="1:108">
      <c r="A293" s="52" t="s">
        <v>347</v>
      </c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  <c r="AI293" s="51"/>
      <c r="AJ293" s="51"/>
      <c r="AK293" s="51"/>
      <c r="AL293" s="51"/>
      <c r="AM293" s="51"/>
      <c r="AN293" s="51"/>
      <c r="AO293" s="51"/>
      <c r="AP293" s="51"/>
      <c r="AQ293" s="51"/>
      <c r="AR293" s="51"/>
      <c r="AS293" s="51"/>
      <c r="AT293" s="51"/>
      <c r="AU293" s="51"/>
      <c r="AV293" s="51"/>
      <c r="AW293" s="51"/>
      <c r="AX293" s="51"/>
      <c r="AY293" s="51"/>
      <c r="AZ293" s="51"/>
      <c r="BA293" s="51"/>
      <c r="BB293" s="51"/>
      <c r="BC293" s="51"/>
      <c r="BD293" s="51"/>
      <c r="BE293" s="51"/>
      <c r="BF293" s="51"/>
      <c r="BG293" s="51"/>
      <c r="BH293" s="51"/>
      <c r="BI293" s="51"/>
      <c r="BJ293" s="51"/>
      <c r="BK293" s="51"/>
      <c r="BL293" s="51"/>
      <c r="BM293" s="51"/>
      <c r="BN293" s="51"/>
      <c r="BO293" s="51"/>
      <c r="BP293" s="51"/>
      <c r="BQ293" s="51"/>
      <c r="BR293" s="51"/>
      <c r="BS293" s="51"/>
      <c r="BT293" s="51"/>
      <c r="BU293" s="51"/>
      <c r="BV293" s="51"/>
      <c r="BW293" s="51"/>
      <c r="BX293" s="51"/>
      <c r="BY293" s="51"/>
      <c r="BZ293" s="51"/>
      <c r="CA293" s="51"/>
      <c r="CB293" s="51"/>
      <c r="CC293" s="51"/>
      <c r="CD293" s="51"/>
      <c r="CE293" s="51"/>
      <c r="CF293" s="51"/>
      <c r="CG293" s="51"/>
      <c r="CH293" s="51"/>
      <c r="CI293" s="51"/>
      <c r="CJ293" s="51"/>
      <c r="CK293" s="51"/>
      <c r="CL293" s="51"/>
      <c r="CM293" s="51"/>
      <c r="CN293" s="51"/>
      <c r="CO293" s="51"/>
      <c r="CP293" s="51"/>
      <c r="CQ293" s="51"/>
      <c r="CR293" s="51"/>
      <c r="CS293" s="51"/>
      <c r="CT293" s="42" t="str">
        <f>IFERROR(('基本数据输入&amp;测算结果'!$C$19*7-AVERAGE(B293:Y293,CP293:CS293)*7-'基本数据输入&amp;测算结果'!$C$23*7)/'基本数据输入&amp;测算结果'!$C$21*'基本数据输入&amp;测算结果'!$C$22,"无数据/数据缺失")</f>
        <v>无数据/数据缺失</v>
      </c>
      <c r="CU293" s="42">
        <f>IF(CT293&lt;0,0,IF(CT293="无数据/数据缺失",0%,IF(CT293&gt;'基本数据输入&amp;测算结果'!$C$20,100%,CT293/'基本数据输入&amp;测算结果'!$C$20)))</f>
        <v>0</v>
      </c>
      <c r="CV293" s="42" t="str">
        <f>IFERROR((AVERAGE(Z293:AG293)*2-'基本数据输入&amp;测算结果'!$C$24*2)/'基本数据输入&amp;测算结果'!$C$21/'基本数据输入&amp;测算结果'!$C$22,"无数据/数据缺失")</f>
        <v>无数据/数据缺失</v>
      </c>
      <c r="CW293" s="42">
        <f>IF(CV293&lt;0,0,IF(CV293="无数据/数据缺失",0%,IF(CV293&gt;'基本数据输入&amp;测算结果'!$C$20*CU293,CU293,CV293/'基本数据输入&amp;测算结果'!$C$20*CU293)))</f>
        <v>0</v>
      </c>
      <c r="CX293" s="42" t="str">
        <f>IFERROR(('基本数据输入&amp;测算结果'!$C$19*3-AVERAGE(AT293:BE293)*3-'基本数据输入&amp;测算结果'!$C$23*3)/'基本数据输入&amp;测算结果'!$C$21*'基本数据输入&amp;测算结果'!$C$22,"无数据/数据缺失")</f>
        <v>无数据/数据缺失</v>
      </c>
      <c r="CY293" s="42">
        <f>IF(CX293&lt;0,0,IF(CX293="无数据/数据缺失",0%,IF(CX293&gt;'基本数据输入&amp;测算结果'!$C$20,100%,CX293/'基本数据输入&amp;测算结果'!$C$20)))</f>
        <v>0</v>
      </c>
      <c r="CZ293" s="42" t="str">
        <f>IFERROR((AVERAGE(BN293:CK293)*6-'基本数据输入&amp;测算结果'!$C$24*6)/'基本数据输入&amp;测算结果'!$C$21/'基本数据输入&amp;测算结果'!$C$22,"无数据/数据缺失")</f>
        <v>无数据/数据缺失</v>
      </c>
      <c r="DA293" s="42">
        <f>IF(CZ293&lt;0,0,IF(CZ293="无数据/数据缺失",0,IF('基本数据输入&amp;测算结果'!$C$20*CY293&gt;CZ293,CZ293/'基本数据输入&amp;测算结果'!$C$20*CY293,CY293)))</f>
        <v>0</v>
      </c>
      <c r="DB293" s="49">
        <f t="shared" si="13"/>
        <v>0</v>
      </c>
      <c r="DC293" s="50"/>
      <c r="DD293" s="50"/>
    </row>
    <row r="294" customHeight="1" spans="1:108">
      <c r="A294" s="52">
        <v>45219</v>
      </c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  <c r="AI294" s="51"/>
      <c r="AJ294" s="51"/>
      <c r="AK294" s="51"/>
      <c r="AL294" s="51"/>
      <c r="AM294" s="51"/>
      <c r="AN294" s="51"/>
      <c r="AO294" s="51"/>
      <c r="AP294" s="51"/>
      <c r="AQ294" s="51"/>
      <c r="AR294" s="51"/>
      <c r="AS294" s="51"/>
      <c r="AT294" s="51"/>
      <c r="AU294" s="51"/>
      <c r="AV294" s="51"/>
      <c r="AW294" s="51"/>
      <c r="AX294" s="51"/>
      <c r="AY294" s="51"/>
      <c r="AZ294" s="51"/>
      <c r="BA294" s="51"/>
      <c r="BB294" s="51"/>
      <c r="BC294" s="51"/>
      <c r="BD294" s="51"/>
      <c r="BE294" s="51"/>
      <c r="BF294" s="51"/>
      <c r="BG294" s="51"/>
      <c r="BH294" s="51"/>
      <c r="BI294" s="51"/>
      <c r="BJ294" s="51"/>
      <c r="BK294" s="51"/>
      <c r="BL294" s="51"/>
      <c r="BM294" s="51"/>
      <c r="BN294" s="51"/>
      <c r="BO294" s="51"/>
      <c r="BP294" s="51"/>
      <c r="BQ294" s="51"/>
      <c r="BR294" s="51"/>
      <c r="BS294" s="51"/>
      <c r="BT294" s="51"/>
      <c r="BU294" s="51"/>
      <c r="BV294" s="51"/>
      <c r="BW294" s="51"/>
      <c r="BX294" s="51"/>
      <c r="BY294" s="51"/>
      <c r="BZ294" s="51"/>
      <c r="CA294" s="51"/>
      <c r="CB294" s="51"/>
      <c r="CC294" s="51"/>
      <c r="CD294" s="51"/>
      <c r="CE294" s="51"/>
      <c r="CF294" s="51"/>
      <c r="CG294" s="51"/>
      <c r="CH294" s="51"/>
      <c r="CI294" s="51"/>
      <c r="CJ294" s="51"/>
      <c r="CK294" s="51"/>
      <c r="CL294" s="51"/>
      <c r="CM294" s="51"/>
      <c r="CN294" s="51"/>
      <c r="CO294" s="51"/>
      <c r="CP294" s="51"/>
      <c r="CQ294" s="51"/>
      <c r="CR294" s="51"/>
      <c r="CS294" s="51"/>
      <c r="CT294" s="42" t="str">
        <f>IFERROR(('基本数据输入&amp;测算结果'!$C$19*7-AVERAGE(B294:Y294,CP294:CS294)*7-'基本数据输入&amp;测算结果'!$C$23*7)/'基本数据输入&amp;测算结果'!$C$21*'基本数据输入&amp;测算结果'!$C$22,"无数据/数据缺失")</f>
        <v>无数据/数据缺失</v>
      </c>
      <c r="CU294" s="42">
        <f>IF(CT294&lt;0,0,IF(CT294="无数据/数据缺失",0%,IF(CT294&gt;'基本数据输入&amp;测算结果'!$C$20,100%,CT294/'基本数据输入&amp;测算结果'!$C$20)))</f>
        <v>0</v>
      </c>
      <c r="CV294" s="42" t="str">
        <f>IFERROR((AVERAGE(Z294:AG294)*2-'基本数据输入&amp;测算结果'!$C$24*2)/'基本数据输入&amp;测算结果'!$C$21/'基本数据输入&amp;测算结果'!$C$22,"无数据/数据缺失")</f>
        <v>无数据/数据缺失</v>
      </c>
      <c r="CW294" s="42">
        <f>IF(CV294&lt;0,0,IF(CV294="无数据/数据缺失",0%,IF(CV294&gt;'基本数据输入&amp;测算结果'!$C$20*CU294,CU294,CV294/'基本数据输入&amp;测算结果'!$C$20*CU294)))</f>
        <v>0</v>
      </c>
      <c r="CX294" s="42" t="str">
        <f>IFERROR(('基本数据输入&amp;测算结果'!$C$19*3-AVERAGE(AT294:BE294)*3-'基本数据输入&amp;测算结果'!$C$23*3)/'基本数据输入&amp;测算结果'!$C$21*'基本数据输入&amp;测算结果'!$C$22,"无数据/数据缺失")</f>
        <v>无数据/数据缺失</v>
      </c>
      <c r="CY294" s="42">
        <f>IF(CX294&lt;0,0,IF(CX294="无数据/数据缺失",0%,IF(CX294&gt;'基本数据输入&amp;测算结果'!$C$20,100%,CX294/'基本数据输入&amp;测算结果'!$C$20)))</f>
        <v>0</v>
      </c>
      <c r="CZ294" s="42" t="str">
        <f>IFERROR((AVERAGE(BN294:CK294)*6-'基本数据输入&amp;测算结果'!$C$24*6)/'基本数据输入&amp;测算结果'!$C$21/'基本数据输入&amp;测算结果'!$C$22,"无数据/数据缺失")</f>
        <v>无数据/数据缺失</v>
      </c>
      <c r="DA294" s="42">
        <f>IF(CZ294&lt;0,0,IF(CZ294="无数据/数据缺失",0,IF('基本数据输入&amp;测算结果'!$C$20*CY294&gt;CZ294,CZ294/'基本数据输入&amp;测算结果'!$C$20*CY294,CY294)))</f>
        <v>0</v>
      </c>
      <c r="DB294" s="49">
        <f t="shared" si="13"/>
        <v>0</v>
      </c>
      <c r="DC294" s="50"/>
      <c r="DD294" s="50"/>
    </row>
    <row r="295" customHeight="1" spans="1:108">
      <c r="A295" s="52">
        <v>45220</v>
      </c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  <c r="AI295" s="51"/>
      <c r="AJ295" s="51"/>
      <c r="AK295" s="51"/>
      <c r="AL295" s="51"/>
      <c r="AM295" s="51"/>
      <c r="AN295" s="51"/>
      <c r="AO295" s="51"/>
      <c r="AP295" s="51"/>
      <c r="AQ295" s="51"/>
      <c r="AR295" s="51"/>
      <c r="AS295" s="51"/>
      <c r="AT295" s="51"/>
      <c r="AU295" s="51"/>
      <c r="AV295" s="51"/>
      <c r="AW295" s="51"/>
      <c r="AX295" s="51"/>
      <c r="AY295" s="51"/>
      <c r="AZ295" s="51"/>
      <c r="BA295" s="51"/>
      <c r="BB295" s="51"/>
      <c r="BC295" s="51"/>
      <c r="BD295" s="51"/>
      <c r="BE295" s="51"/>
      <c r="BF295" s="51"/>
      <c r="BG295" s="51"/>
      <c r="BH295" s="51"/>
      <c r="BI295" s="51"/>
      <c r="BJ295" s="51"/>
      <c r="BK295" s="51"/>
      <c r="BL295" s="51"/>
      <c r="BM295" s="51"/>
      <c r="BN295" s="51"/>
      <c r="BO295" s="51"/>
      <c r="BP295" s="51"/>
      <c r="BQ295" s="51"/>
      <c r="BR295" s="51"/>
      <c r="BS295" s="51"/>
      <c r="BT295" s="51"/>
      <c r="BU295" s="51"/>
      <c r="BV295" s="51"/>
      <c r="BW295" s="51"/>
      <c r="BX295" s="51"/>
      <c r="BY295" s="51"/>
      <c r="BZ295" s="51"/>
      <c r="CA295" s="51"/>
      <c r="CB295" s="51"/>
      <c r="CC295" s="51"/>
      <c r="CD295" s="51"/>
      <c r="CE295" s="51"/>
      <c r="CF295" s="51"/>
      <c r="CG295" s="51"/>
      <c r="CH295" s="51"/>
      <c r="CI295" s="51"/>
      <c r="CJ295" s="51"/>
      <c r="CK295" s="51"/>
      <c r="CL295" s="51"/>
      <c r="CM295" s="51"/>
      <c r="CN295" s="51"/>
      <c r="CO295" s="51"/>
      <c r="CP295" s="51"/>
      <c r="CQ295" s="51"/>
      <c r="CR295" s="51"/>
      <c r="CS295" s="51"/>
      <c r="CT295" s="42" t="str">
        <f>IFERROR(('基本数据输入&amp;测算结果'!$C$19*7-AVERAGE(B295:Y295,CP295:CS295)*7-'基本数据输入&amp;测算结果'!$C$23*7)/'基本数据输入&amp;测算结果'!$C$21*'基本数据输入&amp;测算结果'!$C$22,"无数据/数据缺失")</f>
        <v>无数据/数据缺失</v>
      </c>
      <c r="CU295" s="42">
        <f>IF(CT295&lt;0,0,IF(CT295="无数据/数据缺失",0%,IF(CT295&gt;'基本数据输入&amp;测算结果'!$C$20,100%,CT295/'基本数据输入&amp;测算结果'!$C$20)))</f>
        <v>0</v>
      </c>
      <c r="CV295" s="42" t="str">
        <f>IFERROR((AVERAGE(Z295:AG295)*2-'基本数据输入&amp;测算结果'!$C$24*2)/'基本数据输入&amp;测算结果'!$C$21/'基本数据输入&amp;测算结果'!$C$22,"无数据/数据缺失")</f>
        <v>无数据/数据缺失</v>
      </c>
      <c r="CW295" s="42">
        <f>IF(CV295&lt;0,0,IF(CV295="无数据/数据缺失",0%,IF(CV295&gt;'基本数据输入&amp;测算结果'!$C$20*CU295,CU295,CV295/'基本数据输入&amp;测算结果'!$C$20*CU295)))</f>
        <v>0</v>
      </c>
      <c r="CX295" s="42" t="str">
        <f>IFERROR(('基本数据输入&amp;测算结果'!$C$19*3-AVERAGE(AT295:BE295)*3-'基本数据输入&amp;测算结果'!$C$23*3)/'基本数据输入&amp;测算结果'!$C$21*'基本数据输入&amp;测算结果'!$C$22,"无数据/数据缺失")</f>
        <v>无数据/数据缺失</v>
      </c>
      <c r="CY295" s="42">
        <f>IF(CX295&lt;0,0,IF(CX295="无数据/数据缺失",0%,IF(CX295&gt;'基本数据输入&amp;测算结果'!$C$20,100%,CX295/'基本数据输入&amp;测算结果'!$C$20)))</f>
        <v>0</v>
      </c>
      <c r="CZ295" s="42" t="str">
        <f>IFERROR((AVERAGE(BN295:CK295)*6-'基本数据输入&amp;测算结果'!$C$24*6)/'基本数据输入&amp;测算结果'!$C$21/'基本数据输入&amp;测算结果'!$C$22,"无数据/数据缺失")</f>
        <v>无数据/数据缺失</v>
      </c>
      <c r="DA295" s="42">
        <f>IF(CZ295&lt;0,0,IF(CZ295="无数据/数据缺失",0,IF('基本数据输入&amp;测算结果'!$C$20*CY295&gt;CZ295,CZ295/'基本数据输入&amp;测算结果'!$C$20*CY295,CY295)))</f>
        <v>0</v>
      </c>
      <c r="DB295" s="49">
        <f t="shared" si="13"/>
        <v>0</v>
      </c>
      <c r="DC295" s="50"/>
      <c r="DD295" s="50"/>
    </row>
    <row r="296" customHeight="1" spans="1:108">
      <c r="A296" s="52">
        <v>45221</v>
      </c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  <c r="AI296" s="51"/>
      <c r="AJ296" s="51"/>
      <c r="AK296" s="51"/>
      <c r="AL296" s="51"/>
      <c r="AM296" s="51"/>
      <c r="AN296" s="51"/>
      <c r="AO296" s="51"/>
      <c r="AP296" s="51"/>
      <c r="AQ296" s="51"/>
      <c r="AR296" s="51"/>
      <c r="AS296" s="51"/>
      <c r="AT296" s="51"/>
      <c r="AU296" s="51"/>
      <c r="AV296" s="51"/>
      <c r="AW296" s="51"/>
      <c r="AX296" s="51"/>
      <c r="AY296" s="51"/>
      <c r="AZ296" s="51"/>
      <c r="BA296" s="51"/>
      <c r="BB296" s="51"/>
      <c r="BC296" s="51"/>
      <c r="BD296" s="51"/>
      <c r="BE296" s="51"/>
      <c r="BF296" s="51"/>
      <c r="BG296" s="51"/>
      <c r="BH296" s="51"/>
      <c r="BI296" s="51"/>
      <c r="BJ296" s="51"/>
      <c r="BK296" s="51"/>
      <c r="BL296" s="51"/>
      <c r="BM296" s="51"/>
      <c r="BN296" s="51"/>
      <c r="BO296" s="51"/>
      <c r="BP296" s="51"/>
      <c r="BQ296" s="51"/>
      <c r="BR296" s="51"/>
      <c r="BS296" s="51"/>
      <c r="BT296" s="51"/>
      <c r="BU296" s="51"/>
      <c r="BV296" s="51"/>
      <c r="BW296" s="51"/>
      <c r="BX296" s="51"/>
      <c r="BY296" s="51"/>
      <c r="BZ296" s="51"/>
      <c r="CA296" s="51"/>
      <c r="CB296" s="51"/>
      <c r="CC296" s="51"/>
      <c r="CD296" s="51"/>
      <c r="CE296" s="51"/>
      <c r="CF296" s="51"/>
      <c r="CG296" s="51"/>
      <c r="CH296" s="51"/>
      <c r="CI296" s="51"/>
      <c r="CJ296" s="51"/>
      <c r="CK296" s="51"/>
      <c r="CL296" s="51"/>
      <c r="CM296" s="51"/>
      <c r="CN296" s="51"/>
      <c r="CO296" s="51"/>
      <c r="CP296" s="51"/>
      <c r="CQ296" s="51"/>
      <c r="CR296" s="51"/>
      <c r="CS296" s="51"/>
      <c r="CT296" s="42" t="str">
        <f>IFERROR(('基本数据输入&amp;测算结果'!$C$19*7-AVERAGE(B296:Y296,CP296:CS296)*7-'基本数据输入&amp;测算结果'!$C$23*7)/'基本数据输入&amp;测算结果'!$C$21*'基本数据输入&amp;测算结果'!$C$22,"无数据/数据缺失")</f>
        <v>无数据/数据缺失</v>
      </c>
      <c r="CU296" s="42">
        <f>IF(CT296&lt;0,0,IF(CT296="无数据/数据缺失",0%,IF(CT296&gt;'基本数据输入&amp;测算结果'!$C$20,100%,CT296/'基本数据输入&amp;测算结果'!$C$20)))</f>
        <v>0</v>
      </c>
      <c r="CV296" s="42" t="str">
        <f>IFERROR((AVERAGE(Z296:AG296)*2-'基本数据输入&amp;测算结果'!$C$24*2)/'基本数据输入&amp;测算结果'!$C$21/'基本数据输入&amp;测算结果'!$C$22,"无数据/数据缺失")</f>
        <v>无数据/数据缺失</v>
      </c>
      <c r="CW296" s="42">
        <f>IF(CV296&lt;0,0,IF(CV296="无数据/数据缺失",0%,IF(CV296&gt;'基本数据输入&amp;测算结果'!$C$20*CU296,CU296,CV296/'基本数据输入&amp;测算结果'!$C$20*CU296)))</f>
        <v>0</v>
      </c>
      <c r="CX296" s="42" t="str">
        <f>IFERROR(('基本数据输入&amp;测算结果'!$C$19*3-AVERAGE(AT296:BE296)*3-'基本数据输入&amp;测算结果'!$C$23*3)/'基本数据输入&amp;测算结果'!$C$21*'基本数据输入&amp;测算结果'!$C$22,"无数据/数据缺失")</f>
        <v>无数据/数据缺失</v>
      </c>
      <c r="CY296" s="42">
        <f>IF(CX296&lt;0,0,IF(CX296="无数据/数据缺失",0%,IF(CX296&gt;'基本数据输入&amp;测算结果'!$C$20,100%,CX296/'基本数据输入&amp;测算结果'!$C$20)))</f>
        <v>0</v>
      </c>
      <c r="CZ296" s="42" t="str">
        <f>IFERROR((AVERAGE(BN296:CK296)*6-'基本数据输入&amp;测算结果'!$C$24*6)/'基本数据输入&amp;测算结果'!$C$21/'基本数据输入&amp;测算结果'!$C$22,"无数据/数据缺失")</f>
        <v>无数据/数据缺失</v>
      </c>
      <c r="DA296" s="42">
        <f>IF(CZ296&lt;0,0,IF(CZ296="无数据/数据缺失",0,IF('基本数据输入&amp;测算结果'!$C$20*CY296&gt;CZ296,CZ296/'基本数据输入&amp;测算结果'!$C$20*CY296,CY296)))</f>
        <v>0</v>
      </c>
      <c r="DB296" s="49">
        <f t="shared" si="13"/>
        <v>0</v>
      </c>
      <c r="DC296" s="50"/>
      <c r="DD296" s="50"/>
    </row>
    <row r="297" customHeight="1" spans="1:108">
      <c r="A297" s="52">
        <v>45222</v>
      </c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  <c r="AI297" s="51"/>
      <c r="AJ297" s="51"/>
      <c r="AK297" s="51"/>
      <c r="AL297" s="51"/>
      <c r="AM297" s="51"/>
      <c r="AN297" s="51"/>
      <c r="AO297" s="51"/>
      <c r="AP297" s="51"/>
      <c r="AQ297" s="51"/>
      <c r="AR297" s="51"/>
      <c r="AS297" s="51"/>
      <c r="AT297" s="51"/>
      <c r="AU297" s="51"/>
      <c r="AV297" s="51"/>
      <c r="AW297" s="51"/>
      <c r="AX297" s="51"/>
      <c r="AY297" s="51"/>
      <c r="AZ297" s="51"/>
      <c r="BA297" s="51"/>
      <c r="BB297" s="51"/>
      <c r="BC297" s="51"/>
      <c r="BD297" s="51"/>
      <c r="BE297" s="51"/>
      <c r="BF297" s="51"/>
      <c r="BG297" s="51"/>
      <c r="BH297" s="51"/>
      <c r="BI297" s="51"/>
      <c r="BJ297" s="51"/>
      <c r="BK297" s="51"/>
      <c r="BL297" s="51"/>
      <c r="BM297" s="51"/>
      <c r="BN297" s="51"/>
      <c r="BO297" s="51"/>
      <c r="BP297" s="51"/>
      <c r="BQ297" s="51"/>
      <c r="BR297" s="51"/>
      <c r="BS297" s="51"/>
      <c r="BT297" s="51"/>
      <c r="BU297" s="51"/>
      <c r="BV297" s="51"/>
      <c r="BW297" s="51"/>
      <c r="BX297" s="51"/>
      <c r="BY297" s="51"/>
      <c r="BZ297" s="51"/>
      <c r="CA297" s="51"/>
      <c r="CB297" s="51"/>
      <c r="CC297" s="51"/>
      <c r="CD297" s="51"/>
      <c r="CE297" s="51"/>
      <c r="CF297" s="51"/>
      <c r="CG297" s="51"/>
      <c r="CH297" s="51"/>
      <c r="CI297" s="51"/>
      <c r="CJ297" s="51"/>
      <c r="CK297" s="51"/>
      <c r="CL297" s="51"/>
      <c r="CM297" s="51"/>
      <c r="CN297" s="51"/>
      <c r="CO297" s="51"/>
      <c r="CP297" s="51"/>
      <c r="CQ297" s="51"/>
      <c r="CR297" s="51"/>
      <c r="CS297" s="51"/>
      <c r="CT297" s="42" t="str">
        <f>IFERROR(('基本数据输入&amp;测算结果'!$C$19*7-AVERAGE(B297:Y297,CP297:CS297)*7-'基本数据输入&amp;测算结果'!$C$23*7)/'基本数据输入&amp;测算结果'!$C$21*'基本数据输入&amp;测算结果'!$C$22,"无数据/数据缺失")</f>
        <v>无数据/数据缺失</v>
      </c>
      <c r="CU297" s="42">
        <f>IF(CT297&lt;0,0,IF(CT297="无数据/数据缺失",0%,IF(CT297&gt;'基本数据输入&amp;测算结果'!$C$20,100%,CT297/'基本数据输入&amp;测算结果'!$C$20)))</f>
        <v>0</v>
      </c>
      <c r="CV297" s="42" t="str">
        <f>IFERROR((AVERAGE(Z297:AG297)*2-'基本数据输入&amp;测算结果'!$C$24*2)/'基本数据输入&amp;测算结果'!$C$21/'基本数据输入&amp;测算结果'!$C$22,"无数据/数据缺失")</f>
        <v>无数据/数据缺失</v>
      </c>
      <c r="CW297" s="42">
        <f>IF(CV297&lt;0,0,IF(CV297="无数据/数据缺失",0%,IF(CV297&gt;'基本数据输入&amp;测算结果'!$C$20*CU297,CU297,CV297/'基本数据输入&amp;测算结果'!$C$20*CU297)))</f>
        <v>0</v>
      </c>
      <c r="CX297" s="42" t="str">
        <f>IFERROR(('基本数据输入&amp;测算结果'!$C$19*3-AVERAGE(AT297:BE297)*3-'基本数据输入&amp;测算结果'!$C$23*3)/'基本数据输入&amp;测算结果'!$C$21*'基本数据输入&amp;测算结果'!$C$22,"无数据/数据缺失")</f>
        <v>无数据/数据缺失</v>
      </c>
      <c r="CY297" s="42">
        <f>IF(CX297&lt;0,0,IF(CX297="无数据/数据缺失",0%,IF(CX297&gt;'基本数据输入&amp;测算结果'!$C$20,100%,CX297/'基本数据输入&amp;测算结果'!$C$20)))</f>
        <v>0</v>
      </c>
      <c r="CZ297" s="42" t="str">
        <f>IFERROR((AVERAGE(BN297:CK297)*6-'基本数据输入&amp;测算结果'!$C$24*6)/'基本数据输入&amp;测算结果'!$C$21/'基本数据输入&amp;测算结果'!$C$22,"无数据/数据缺失")</f>
        <v>无数据/数据缺失</v>
      </c>
      <c r="DA297" s="42">
        <f>IF(CZ297&lt;0,0,IF(CZ297="无数据/数据缺失",0,IF('基本数据输入&amp;测算结果'!$C$20*CY297&gt;CZ297,CZ297/'基本数据输入&amp;测算结果'!$C$20*CY297,CY297)))</f>
        <v>0</v>
      </c>
      <c r="DB297" s="49">
        <f t="shared" si="13"/>
        <v>0</v>
      </c>
      <c r="DC297" s="50"/>
      <c r="DD297" s="50"/>
    </row>
    <row r="298" customHeight="1" spans="1:108">
      <c r="A298" s="52">
        <v>45223</v>
      </c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  <c r="AI298" s="51"/>
      <c r="AJ298" s="51"/>
      <c r="AK298" s="51"/>
      <c r="AL298" s="51"/>
      <c r="AM298" s="51"/>
      <c r="AN298" s="51"/>
      <c r="AO298" s="51"/>
      <c r="AP298" s="51"/>
      <c r="AQ298" s="51"/>
      <c r="AR298" s="51"/>
      <c r="AS298" s="51"/>
      <c r="AT298" s="51"/>
      <c r="AU298" s="51"/>
      <c r="AV298" s="51"/>
      <c r="AW298" s="51"/>
      <c r="AX298" s="51"/>
      <c r="AY298" s="51"/>
      <c r="AZ298" s="51"/>
      <c r="BA298" s="51"/>
      <c r="BB298" s="51"/>
      <c r="BC298" s="51"/>
      <c r="BD298" s="51"/>
      <c r="BE298" s="51"/>
      <c r="BF298" s="51"/>
      <c r="BG298" s="51"/>
      <c r="BH298" s="51"/>
      <c r="BI298" s="51"/>
      <c r="BJ298" s="51"/>
      <c r="BK298" s="51"/>
      <c r="BL298" s="51"/>
      <c r="BM298" s="51"/>
      <c r="BN298" s="51"/>
      <c r="BO298" s="51"/>
      <c r="BP298" s="51"/>
      <c r="BQ298" s="51"/>
      <c r="BR298" s="51"/>
      <c r="BS298" s="51"/>
      <c r="BT298" s="51"/>
      <c r="BU298" s="51"/>
      <c r="BV298" s="51"/>
      <c r="BW298" s="51"/>
      <c r="BX298" s="51"/>
      <c r="BY298" s="51"/>
      <c r="BZ298" s="51"/>
      <c r="CA298" s="51"/>
      <c r="CB298" s="51"/>
      <c r="CC298" s="51"/>
      <c r="CD298" s="51"/>
      <c r="CE298" s="51"/>
      <c r="CF298" s="51"/>
      <c r="CG298" s="51"/>
      <c r="CH298" s="51"/>
      <c r="CI298" s="51"/>
      <c r="CJ298" s="51"/>
      <c r="CK298" s="51"/>
      <c r="CL298" s="51"/>
      <c r="CM298" s="51"/>
      <c r="CN298" s="51"/>
      <c r="CO298" s="51"/>
      <c r="CP298" s="51"/>
      <c r="CQ298" s="51"/>
      <c r="CR298" s="51"/>
      <c r="CS298" s="51"/>
      <c r="CT298" s="42" t="str">
        <f>IFERROR(('基本数据输入&amp;测算结果'!$C$19*7-AVERAGE(B298:Y298,CP298:CS298)*7-'基本数据输入&amp;测算结果'!$C$23*7)/'基本数据输入&amp;测算结果'!$C$21*'基本数据输入&amp;测算结果'!$C$22,"无数据/数据缺失")</f>
        <v>无数据/数据缺失</v>
      </c>
      <c r="CU298" s="42">
        <f>IF(CT298&lt;0,0,IF(CT298="无数据/数据缺失",0%,IF(CT298&gt;'基本数据输入&amp;测算结果'!$C$20,100%,CT298/'基本数据输入&amp;测算结果'!$C$20)))</f>
        <v>0</v>
      </c>
      <c r="CV298" s="42" t="str">
        <f>IFERROR((AVERAGE(Z298:AG298)*2-'基本数据输入&amp;测算结果'!$C$24*2)/'基本数据输入&amp;测算结果'!$C$21/'基本数据输入&amp;测算结果'!$C$22,"无数据/数据缺失")</f>
        <v>无数据/数据缺失</v>
      </c>
      <c r="CW298" s="42">
        <f>IF(CV298&lt;0,0,IF(CV298="无数据/数据缺失",0%,IF(CV298&gt;'基本数据输入&amp;测算结果'!$C$20*CU298,CU298,CV298/'基本数据输入&amp;测算结果'!$C$20*CU298)))</f>
        <v>0</v>
      </c>
      <c r="CX298" s="42" t="str">
        <f>IFERROR(('基本数据输入&amp;测算结果'!$C$19*3-AVERAGE(AT298:BE298)*3-'基本数据输入&amp;测算结果'!$C$23*3)/'基本数据输入&amp;测算结果'!$C$21*'基本数据输入&amp;测算结果'!$C$22,"无数据/数据缺失")</f>
        <v>无数据/数据缺失</v>
      </c>
      <c r="CY298" s="42">
        <f>IF(CX298&lt;0,0,IF(CX298="无数据/数据缺失",0%,IF(CX298&gt;'基本数据输入&amp;测算结果'!$C$20,100%,CX298/'基本数据输入&amp;测算结果'!$C$20)))</f>
        <v>0</v>
      </c>
      <c r="CZ298" s="42" t="str">
        <f>IFERROR((AVERAGE(BN298:CK298)*6-'基本数据输入&amp;测算结果'!$C$24*6)/'基本数据输入&amp;测算结果'!$C$21/'基本数据输入&amp;测算结果'!$C$22,"无数据/数据缺失")</f>
        <v>无数据/数据缺失</v>
      </c>
      <c r="DA298" s="42">
        <f>IF(CZ298&lt;0,0,IF(CZ298="无数据/数据缺失",0,IF('基本数据输入&amp;测算结果'!$C$20*CY298&gt;CZ298,CZ298/'基本数据输入&amp;测算结果'!$C$20*CY298,CY298)))</f>
        <v>0</v>
      </c>
      <c r="DB298" s="49">
        <f t="shared" si="13"/>
        <v>0</v>
      </c>
      <c r="DC298" s="50"/>
      <c r="DD298" s="50"/>
    </row>
    <row r="299" customHeight="1" spans="1:108">
      <c r="A299" s="52">
        <v>45224</v>
      </c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  <c r="AK299" s="51"/>
      <c r="AL299" s="51"/>
      <c r="AM299" s="51"/>
      <c r="AN299" s="51"/>
      <c r="AO299" s="51"/>
      <c r="AP299" s="51"/>
      <c r="AQ299" s="51"/>
      <c r="AR299" s="51"/>
      <c r="AS299" s="51"/>
      <c r="AT299" s="51"/>
      <c r="AU299" s="51"/>
      <c r="AV299" s="51"/>
      <c r="AW299" s="51"/>
      <c r="AX299" s="51"/>
      <c r="AY299" s="51"/>
      <c r="AZ299" s="51"/>
      <c r="BA299" s="51"/>
      <c r="BB299" s="51"/>
      <c r="BC299" s="51"/>
      <c r="BD299" s="51"/>
      <c r="BE299" s="51"/>
      <c r="BF299" s="51"/>
      <c r="BG299" s="51"/>
      <c r="BH299" s="51"/>
      <c r="BI299" s="51"/>
      <c r="BJ299" s="51"/>
      <c r="BK299" s="51"/>
      <c r="BL299" s="51"/>
      <c r="BM299" s="51"/>
      <c r="BN299" s="51"/>
      <c r="BO299" s="51"/>
      <c r="BP299" s="51"/>
      <c r="BQ299" s="51"/>
      <c r="BR299" s="51"/>
      <c r="BS299" s="51"/>
      <c r="BT299" s="51"/>
      <c r="BU299" s="51"/>
      <c r="BV299" s="51"/>
      <c r="BW299" s="51"/>
      <c r="BX299" s="51"/>
      <c r="BY299" s="51"/>
      <c r="BZ299" s="51"/>
      <c r="CA299" s="51"/>
      <c r="CB299" s="51"/>
      <c r="CC299" s="51"/>
      <c r="CD299" s="51"/>
      <c r="CE299" s="51"/>
      <c r="CF299" s="51"/>
      <c r="CG299" s="51"/>
      <c r="CH299" s="51"/>
      <c r="CI299" s="51"/>
      <c r="CJ299" s="51"/>
      <c r="CK299" s="51"/>
      <c r="CL299" s="51"/>
      <c r="CM299" s="51"/>
      <c r="CN299" s="51"/>
      <c r="CO299" s="51"/>
      <c r="CP299" s="51"/>
      <c r="CQ299" s="51"/>
      <c r="CR299" s="51"/>
      <c r="CS299" s="51"/>
      <c r="CT299" s="42" t="str">
        <f>IFERROR(('基本数据输入&amp;测算结果'!$C$19*7-AVERAGE(B299:Y299,CP299:CS299)*7-'基本数据输入&amp;测算结果'!$C$23*7)/'基本数据输入&amp;测算结果'!$C$21*'基本数据输入&amp;测算结果'!$C$22,"无数据/数据缺失")</f>
        <v>无数据/数据缺失</v>
      </c>
      <c r="CU299" s="42">
        <f>IF(CT299&lt;0,0,IF(CT299="无数据/数据缺失",0%,IF(CT299&gt;'基本数据输入&amp;测算结果'!$C$20,100%,CT299/'基本数据输入&amp;测算结果'!$C$20)))</f>
        <v>0</v>
      </c>
      <c r="CV299" s="42" t="str">
        <f>IFERROR((AVERAGE(Z299:AG299)*2-'基本数据输入&amp;测算结果'!$C$24*2)/'基本数据输入&amp;测算结果'!$C$21/'基本数据输入&amp;测算结果'!$C$22,"无数据/数据缺失")</f>
        <v>无数据/数据缺失</v>
      </c>
      <c r="CW299" s="42">
        <f>IF(CV299&lt;0,0,IF(CV299="无数据/数据缺失",0%,IF(CV299&gt;'基本数据输入&amp;测算结果'!$C$20*CU299,CU299,CV299/'基本数据输入&amp;测算结果'!$C$20*CU299)))</f>
        <v>0</v>
      </c>
      <c r="CX299" s="42" t="str">
        <f>IFERROR(('基本数据输入&amp;测算结果'!$C$19*3-AVERAGE(AT299:BE299)*3-'基本数据输入&amp;测算结果'!$C$23*3)/'基本数据输入&amp;测算结果'!$C$21*'基本数据输入&amp;测算结果'!$C$22,"无数据/数据缺失")</f>
        <v>无数据/数据缺失</v>
      </c>
      <c r="CY299" s="42">
        <f>IF(CX299&lt;0,0,IF(CX299="无数据/数据缺失",0%,IF(CX299&gt;'基本数据输入&amp;测算结果'!$C$20,100%,CX299/'基本数据输入&amp;测算结果'!$C$20)))</f>
        <v>0</v>
      </c>
      <c r="CZ299" s="42" t="str">
        <f>IFERROR((AVERAGE(BN299:CK299)*6-'基本数据输入&amp;测算结果'!$C$24*6)/'基本数据输入&amp;测算结果'!$C$21/'基本数据输入&amp;测算结果'!$C$22,"无数据/数据缺失")</f>
        <v>无数据/数据缺失</v>
      </c>
      <c r="DA299" s="42">
        <f>IF(CZ299&lt;0,0,IF(CZ299="无数据/数据缺失",0,IF('基本数据输入&amp;测算结果'!$C$20*CY299&gt;CZ299,CZ299/'基本数据输入&amp;测算结果'!$C$20*CY299,CY299)))</f>
        <v>0</v>
      </c>
      <c r="DB299" s="49">
        <f t="shared" si="13"/>
        <v>0</v>
      </c>
      <c r="DC299" s="50"/>
      <c r="DD299" s="50"/>
    </row>
    <row r="300" customHeight="1" spans="1:108">
      <c r="A300" s="52">
        <v>45225</v>
      </c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51"/>
      <c r="AJ300" s="51"/>
      <c r="AK300" s="51"/>
      <c r="AL300" s="51"/>
      <c r="AM300" s="51"/>
      <c r="AN300" s="51"/>
      <c r="AO300" s="51"/>
      <c r="AP300" s="51"/>
      <c r="AQ300" s="51"/>
      <c r="AR300" s="51"/>
      <c r="AS300" s="51"/>
      <c r="AT300" s="51"/>
      <c r="AU300" s="51"/>
      <c r="AV300" s="51"/>
      <c r="AW300" s="51"/>
      <c r="AX300" s="51"/>
      <c r="AY300" s="51"/>
      <c r="AZ300" s="51"/>
      <c r="BA300" s="51"/>
      <c r="BB300" s="51"/>
      <c r="BC300" s="51"/>
      <c r="BD300" s="51"/>
      <c r="BE300" s="51"/>
      <c r="BF300" s="51"/>
      <c r="BG300" s="51"/>
      <c r="BH300" s="51"/>
      <c r="BI300" s="51"/>
      <c r="BJ300" s="51"/>
      <c r="BK300" s="51"/>
      <c r="BL300" s="51"/>
      <c r="BM300" s="51"/>
      <c r="BN300" s="51"/>
      <c r="BO300" s="51"/>
      <c r="BP300" s="51"/>
      <c r="BQ300" s="51"/>
      <c r="BR300" s="51"/>
      <c r="BS300" s="51"/>
      <c r="BT300" s="51"/>
      <c r="BU300" s="51"/>
      <c r="BV300" s="51"/>
      <c r="BW300" s="51"/>
      <c r="BX300" s="51"/>
      <c r="BY300" s="51"/>
      <c r="BZ300" s="51"/>
      <c r="CA300" s="51"/>
      <c r="CB300" s="51"/>
      <c r="CC300" s="51"/>
      <c r="CD300" s="51"/>
      <c r="CE300" s="51"/>
      <c r="CF300" s="51"/>
      <c r="CG300" s="51"/>
      <c r="CH300" s="51"/>
      <c r="CI300" s="51"/>
      <c r="CJ300" s="51"/>
      <c r="CK300" s="51"/>
      <c r="CL300" s="51"/>
      <c r="CM300" s="51"/>
      <c r="CN300" s="51"/>
      <c r="CO300" s="51"/>
      <c r="CP300" s="51"/>
      <c r="CQ300" s="51"/>
      <c r="CR300" s="51"/>
      <c r="CS300" s="51"/>
      <c r="CT300" s="42" t="str">
        <f>IFERROR(('基本数据输入&amp;测算结果'!$C$19*7-AVERAGE(B300:Y300,CP300:CS300)*7-'基本数据输入&amp;测算结果'!$C$23*7)/'基本数据输入&amp;测算结果'!$C$21*'基本数据输入&amp;测算结果'!$C$22,"无数据/数据缺失")</f>
        <v>无数据/数据缺失</v>
      </c>
      <c r="CU300" s="42">
        <f>IF(CT300&lt;0,0,IF(CT300="无数据/数据缺失",0%,IF(CT300&gt;'基本数据输入&amp;测算结果'!$C$20,100%,CT300/'基本数据输入&amp;测算结果'!$C$20)))</f>
        <v>0</v>
      </c>
      <c r="CV300" s="42" t="str">
        <f>IFERROR((AVERAGE(Z300:AG300)*2-'基本数据输入&amp;测算结果'!$C$24*2)/'基本数据输入&amp;测算结果'!$C$21/'基本数据输入&amp;测算结果'!$C$22,"无数据/数据缺失")</f>
        <v>无数据/数据缺失</v>
      </c>
      <c r="CW300" s="42">
        <f>IF(CV300&lt;0,0,IF(CV300="无数据/数据缺失",0%,IF(CV300&gt;'基本数据输入&amp;测算结果'!$C$20*CU300,CU300,CV300/'基本数据输入&amp;测算结果'!$C$20*CU300)))</f>
        <v>0</v>
      </c>
      <c r="CX300" s="42" t="str">
        <f>IFERROR(('基本数据输入&amp;测算结果'!$C$19*3-AVERAGE(AT300:BE300)*3-'基本数据输入&amp;测算结果'!$C$23*3)/'基本数据输入&amp;测算结果'!$C$21*'基本数据输入&amp;测算结果'!$C$22,"无数据/数据缺失")</f>
        <v>无数据/数据缺失</v>
      </c>
      <c r="CY300" s="42">
        <f>IF(CX300&lt;0,0,IF(CX300="无数据/数据缺失",0%,IF(CX300&gt;'基本数据输入&amp;测算结果'!$C$20,100%,CX300/'基本数据输入&amp;测算结果'!$C$20)))</f>
        <v>0</v>
      </c>
      <c r="CZ300" s="42" t="str">
        <f>IFERROR((AVERAGE(BN300:CK300)*6-'基本数据输入&amp;测算结果'!$C$24*6)/'基本数据输入&amp;测算结果'!$C$21/'基本数据输入&amp;测算结果'!$C$22,"无数据/数据缺失")</f>
        <v>无数据/数据缺失</v>
      </c>
      <c r="DA300" s="42">
        <f>IF(CZ300&lt;0,0,IF(CZ300="无数据/数据缺失",0,IF('基本数据输入&amp;测算结果'!$C$20*CY300&gt;CZ300,CZ300/'基本数据输入&amp;测算结果'!$C$20*CY300,CY300)))</f>
        <v>0</v>
      </c>
      <c r="DB300" s="49">
        <f t="shared" si="13"/>
        <v>0</v>
      </c>
      <c r="DC300" s="50"/>
      <c r="DD300" s="50"/>
    </row>
    <row r="301" customHeight="1" spans="1:108">
      <c r="A301" s="52">
        <v>45226</v>
      </c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  <c r="AI301" s="51"/>
      <c r="AJ301" s="51"/>
      <c r="AK301" s="51"/>
      <c r="AL301" s="51"/>
      <c r="AM301" s="51"/>
      <c r="AN301" s="51"/>
      <c r="AO301" s="51"/>
      <c r="AP301" s="51"/>
      <c r="AQ301" s="51"/>
      <c r="AR301" s="51"/>
      <c r="AS301" s="51"/>
      <c r="AT301" s="51"/>
      <c r="AU301" s="51"/>
      <c r="AV301" s="51"/>
      <c r="AW301" s="51"/>
      <c r="AX301" s="51"/>
      <c r="AY301" s="51"/>
      <c r="AZ301" s="51"/>
      <c r="BA301" s="51"/>
      <c r="BB301" s="51"/>
      <c r="BC301" s="51"/>
      <c r="BD301" s="51"/>
      <c r="BE301" s="51"/>
      <c r="BF301" s="51"/>
      <c r="BG301" s="51"/>
      <c r="BH301" s="51"/>
      <c r="BI301" s="51"/>
      <c r="BJ301" s="51"/>
      <c r="BK301" s="51"/>
      <c r="BL301" s="51"/>
      <c r="BM301" s="51"/>
      <c r="BN301" s="51"/>
      <c r="BO301" s="51"/>
      <c r="BP301" s="51"/>
      <c r="BQ301" s="51"/>
      <c r="BR301" s="51"/>
      <c r="BS301" s="51"/>
      <c r="BT301" s="51"/>
      <c r="BU301" s="51"/>
      <c r="BV301" s="51"/>
      <c r="BW301" s="51"/>
      <c r="BX301" s="51"/>
      <c r="BY301" s="51"/>
      <c r="BZ301" s="51"/>
      <c r="CA301" s="51"/>
      <c r="CB301" s="51"/>
      <c r="CC301" s="51"/>
      <c r="CD301" s="51"/>
      <c r="CE301" s="51"/>
      <c r="CF301" s="51"/>
      <c r="CG301" s="51"/>
      <c r="CH301" s="51"/>
      <c r="CI301" s="51"/>
      <c r="CJ301" s="51"/>
      <c r="CK301" s="51"/>
      <c r="CL301" s="51"/>
      <c r="CM301" s="51"/>
      <c r="CN301" s="51"/>
      <c r="CO301" s="51"/>
      <c r="CP301" s="51"/>
      <c r="CQ301" s="51"/>
      <c r="CR301" s="51"/>
      <c r="CS301" s="51"/>
      <c r="CT301" s="42" t="str">
        <f>IFERROR(('基本数据输入&amp;测算结果'!$C$19*7-AVERAGE(B301:Y301,CP301:CS301)*7-'基本数据输入&amp;测算结果'!$C$23*7)/'基本数据输入&amp;测算结果'!$C$21*'基本数据输入&amp;测算结果'!$C$22,"无数据/数据缺失")</f>
        <v>无数据/数据缺失</v>
      </c>
      <c r="CU301" s="42">
        <f>IF(CT301&lt;0,0,IF(CT301="无数据/数据缺失",0%,IF(CT301&gt;'基本数据输入&amp;测算结果'!$C$20,100%,CT301/'基本数据输入&amp;测算结果'!$C$20)))</f>
        <v>0</v>
      </c>
      <c r="CV301" s="42" t="str">
        <f>IFERROR((AVERAGE(Z301:AG301)*2-'基本数据输入&amp;测算结果'!$C$24*2)/'基本数据输入&amp;测算结果'!$C$21/'基本数据输入&amp;测算结果'!$C$22,"无数据/数据缺失")</f>
        <v>无数据/数据缺失</v>
      </c>
      <c r="CW301" s="42">
        <f>IF(CV301&lt;0,0,IF(CV301="无数据/数据缺失",0%,IF(CV301&gt;'基本数据输入&amp;测算结果'!$C$20*CU301,CU301,CV301/'基本数据输入&amp;测算结果'!$C$20*CU301)))</f>
        <v>0</v>
      </c>
      <c r="CX301" s="42" t="str">
        <f>IFERROR(('基本数据输入&amp;测算结果'!$C$19*3-AVERAGE(AT301:BE301)*3-'基本数据输入&amp;测算结果'!$C$23*3)/'基本数据输入&amp;测算结果'!$C$21*'基本数据输入&amp;测算结果'!$C$22,"无数据/数据缺失")</f>
        <v>无数据/数据缺失</v>
      </c>
      <c r="CY301" s="42">
        <f>IF(CX301&lt;0,0,IF(CX301="无数据/数据缺失",0%,IF(CX301&gt;'基本数据输入&amp;测算结果'!$C$20,100%,CX301/'基本数据输入&amp;测算结果'!$C$20)))</f>
        <v>0</v>
      </c>
      <c r="CZ301" s="42" t="str">
        <f>IFERROR((AVERAGE(BN301:CK301)*6-'基本数据输入&amp;测算结果'!$C$24*6)/'基本数据输入&amp;测算结果'!$C$21/'基本数据输入&amp;测算结果'!$C$22,"无数据/数据缺失")</f>
        <v>无数据/数据缺失</v>
      </c>
      <c r="DA301" s="42">
        <f>IF(CZ301&lt;0,0,IF(CZ301="无数据/数据缺失",0,IF('基本数据输入&amp;测算结果'!$C$20*CY301&gt;CZ301,CZ301/'基本数据输入&amp;测算结果'!$C$20*CY301,CY301)))</f>
        <v>0</v>
      </c>
      <c r="DB301" s="49">
        <f t="shared" si="13"/>
        <v>0</v>
      </c>
      <c r="DC301" s="50"/>
      <c r="DD301" s="50"/>
    </row>
    <row r="302" customHeight="1" spans="1:108">
      <c r="A302" s="52">
        <v>45227</v>
      </c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51"/>
      <c r="AN302" s="51"/>
      <c r="AO302" s="51"/>
      <c r="AP302" s="51"/>
      <c r="AQ302" s="51"/>
      <c r="AR302" s="51"/>
      <c r="AS302" s="51"/>
      <c r="AT302" s="51"/>
      <c r="AU302" s="51"/>
      <c r="AV302" s="51"/>
      <c r="AW302" s="51"/>
      <c r="AX302" s="51"/>
      <c r="AY302" s="51"/>
      <c r="AZ302" s="51"/>
      <c r="BA302" s="51"/>
      <c r="BB302" s="51"/>
      <c r="BC302" s="51"/>
      <c r="BD302" s="51"/>
      <c r="BE302" s="51"/>
      <c r="BF302" s="51"/>
      <c r="BG302" s="51"/>
      <c r="BH302" s="51"/>
      <c r="BI302" s="51"/>
      <c r="BJ302" s="51"/>
      <c r="BK302" s="51"/>
      <c r="BL302" s="51"/>
      <c r="BM302" s="51"/>
      <c r="BN302" s="51"/>
      <c r="BO302" s="51"/>
      <c r="BP302" s="51"/>
      <c r="BQ302" s="51"/>
      <c r="BR302" s="51"/>
      <c r="BS302" s="51"/>
      <c r="BT302" s="51"/>
      <c r="BU302" s="51"/>
      <c r="BV302" s="51"/>
      <c r="BW302" s="51"/>
      <c r="BX302" s="51"/>
      <c r="BY302" s="51"/>
      <c r="BZ302" s="51"/>
      <c r="CA302" s="51"/>
      <c r="CB302" s="51"/>
      <c r="CC302" s="51"/>
      <c r="CD302" s="51"/>
      <c r="CE302" s="51"/>
      <c r="CF302" s="51"/>
      <c r="CG302" s="51"/>
      <c r="CH302" s="51"/>
      <c r="CI302" s="51"/>
      <c r="CJ302" s="51"/>
      <c r="CK302" s="51"/>
      <c r="CL302" s="51"/>
      <c r="CM302" s="51"/>
      <c r="CN302" s="51"/>
      <c r="CO302" s="51"/>
      <c r="CP302" s="51"/>
      <c r="CQ302" s="51"/>
      <c r="CR302" s="51"/>
      <c r="CS302" s="51"/>
      <c r="CT302" s="42" t="str">
        <f>IFERROR(('基本数据输入&amp;测算结果'!$C$19*7-AVERAGE(B302:Y302,CP302:CS302)*7-'基本数据输入&amp;测算结果'!$C$23*7)/'基本数据输入&amp;测算结果'!$C$21*'基本数据输入&amp;测算结果'!$C$22,"无数据/数据缺失")</f>
        <v>无数据/数据缺失</v>
      </c>
      <c r="CU302" s="42">
        <f>IF(CT302&lt;0,0,IF(CT302="无数据/数据缺失",0%,IF(CT302&gt;'基本数据输入&amp;测算结果'!$C$20,100%,CT302/'基本数据输入&amp;测算结果'!$C$20)))</f>
        <v>0</v>
      </c>
      <c r="CV302" s="42" t="str">
        <f>IFERROR((AVERAGE(Z302:AG302)*2-'基本数据输入&amp;测算结果'!$C$24*2)/'基本数据输入&amp;测算结果'!$C$21/'基本数据输入&amp;测算结果'!$C$22,"无数据/数据缺失")</f>
        <v>无数据/数据缺失</v>
      </c>
      <c r="CW302" s="42">
        <f>IF(CV302&lt;0,0,IF(CV302="无数据/数据缺失",0%,IF(CV302&gt;'基本数据输入&amp;测算结果'!$C$20*CU302,CU302,CV302/'基本数据输入&amp;测算结果'!$C$20*CU302)))</f>
        <v>0</v>
      </c>
      <c r="CX302" s="42" t="str">
        <f>IFERROR(('基本数据输入&amp;测算结果'!$C$19*3-AVERAGE(AT302:BE302)*3-'基本数据输入&amp;测算结果'!$C$23*3)/'基本数据输入&amp;测算结果'!$C$21*'基本数据输入&amp;测算结果'!$C$22,"无数据/数据缺失")</f>
        <v>无数据/数据缺失</v>
      </c>
      <c r="CY302" s="42">
        <f>IF(CX302&lt;0,0,IF(CX302="无数据/数据缺失",0%,IF(CX302&gt;'基本数据输入&amp;测算结果'!$C$20,100%,CX302/'基本数据输入&amp;测算结果'!$C$20)))</f>
        <v>0</v>
      </c>
      <c r="CZ302" s="42" t="str">
        <f>IFERROR((AVERAGE(BN302:CK302)*6-'基本数据输入&amp;测算结果'!$C$24*6)/'基本数据输入&amp;测算结果'!$C$21/'基本数据输入&amp;测算结果'!$C$22,"无数据/数据缺失")</f>
        <v>无数据/数据缺失</v>
      </c>
      <c r="DA302" s="42">
        <f>IF(CZ302&lt;0,0,IF(CZ302="无数据/数据缺失",0,IF('基本数据输入&amp;测算结果'!$C$20*CY302&gt;CZ302,CZ302/'基本数据输入&amp;测算结果'!$C$20*CY302,CY302)))</f>
        <v>0</v>
      </c>
      <c r="DB302" s="49">
        <f t="shared" si="13"/>
        <v>0</v>
      </c>
      <c r="DC302" s="50"/>
      <c r="DD302" s="50"/>
    </row>
    <row r="303" customHeight="1" spans="1:108">
      <c r="A303" s="52">
        <v>45228</v>
      </c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1"/>
      <c r="AM303" s="51"/>
      <c r="AN303" s="51"/>
      <c r="AO303" s="51"/>
      <c r="AP303" s="51"/>
      <c r="AQ303" s="51"/>
      <c r="AR303" s="51"/>
      <c r="AS303" s="51"/>
      <c r="AT303" s="51"/>
      <c r="AU303" s="51"/>
      <c r="AV303" s="51"/>
      <c r="AW303" s="51"/>
      <c r="AX303" s="51"/>
      <c r="AY303" s="51"/>
      <c r="AZ303" s="51"/>
      <c r="BA303" s="51"/>
      <c r="BB303" s="51"/>
      <c r="BC303" s="51"/>
      <c r="BD303" s="51"/>
      <c r="BE303" s="51"/>
      <c r="BF303" s="51"/>
      <c r="BG303" s="51"/>
      <c r="BH303" s="51"/>
      <c r="BI303" s="51"/>
      <c r="BJ303" s="51"/>
      <c r="BK303" s="51"/>
      <c r="BL303" s="51"/>
      <c r="BM303" s="51"/>
      <c r="BN303" s="51"/>
      <c r="BO303" s="51"/>
      <c r="BP303" s="51"/>
      <c r="BQ303" s="51"/>
      <c r="BR303" s="51"/>
      <c r="BS303" s="51"/>
      <c r="BT303" s="51"/>
      <c r="BU303" s="51"/>
      <c r="BV303" s="51"/>
      <c r="BW303" s="51"/>
      <c r="BX303" s="51"/>
      <c r="BY303" s="51"/>
      <c r="BZ303" s="51"/>
      <c r="CA303" s="51"/>
      <c r="CB303" s="51"/>
      <c r="CC303" s="51"/>
      <c r="CD303" s="51"/>
      <c r="CE303" s="51"/>
      <c r="CF303" s="51"/>
      <c r="CG303" s="51"/>
      <c r="CH303" s="51"/>
      <c r="CI303" s="51"/>
      <c r="CJ303" s="51"/>
      <c r="CK303" s="51"/>
      <c r="CL303" s="51"/>
      <c r="CM303" s="51"/>
      <c r="CN303" s="51"/>
      <c r="CO303" s="51"/>
      <c r="CP303" s="51"/>
      <c r="CQ303" s="51"/>
      <c r="CR303" s="51"/>
      <c r="CS303" s="51"/>
      <c r="CT303" s="42" t="str">
        <f>IFERROR(('基本数据输入&amp;测算结果'!$C$19*7-AVERAGE(B303:Y303,CP303:CS303)*7-'基本数据输入&amp;测算结果'!$C$23*7)/'基本数据输入&amp;测算结果'!$C$21*'基本数据输入&amp;测算结果'!$C$22,"无数据/数据缺失")</f>
        <v>无数据/数据缺失</v>
      </c>
      <c r="CU303" s="42">
        <f>IF(CT303&lt;0,0,IF(CT303="无数据/数据缺失",0%,IF(CT303&gt;'基本数据输入&amp;测算结果'!$C$20,100%,CT303/'基本数据输入&amp;测算结果'!$C$20)))</f>
        <v>0</v>
      </c>
      <c r="CV303" s="42" t="str">
        <f>IFERROR((AVERAGE(Z303:AG303)*2-'基本数据输入&amp;测算结果'!$C$24*2)/'基本数据输入&amp;测算结果'!$C$21/'基本数据输入&amp;测算结果'!$C$22,"无数据/数据缺失")</f>
        <v>无数据/数据缺失</v>
      </c>
      <c r="CW303" s="42">
        <f>IF(CV303&lt;0,0,IF(CV303="无数据/数据缺失",0%,IF(CV303&gt;'基本数据输入&amp;测算结果'!$C$20*CU303,CU303,CV303/'基本数据输入&amp;测算结果'!$C$20*CU303)))</f>
        <v>0</v>
      </c>
      <c r="CX303" s="42" t="str">
        <f>IFERROR(('基本数据输入&amp;测算结果'!$C$19*3-AVERAGE(AT303:BE303)*3-'基本数据输入&amp;测算结果'!$C$23*3)/'基本数据输入&amp;测算结果'!$C$21*'基本数据输入&amp;测算结果'!$C$22,"无数据/数据缺失")</f>
        <v>无数据/数据缺失</v>
      </c>
      <c r="CY303" s="42">
        <f>IF(CX303&lt;0,0,IF(CX303="无数据/数据缺失",0%,IF(CX303&gt;'基本数据输入&amp;测算结果'!$C$20,100%,CX303/'基本数据输入&amp;测算结果'!$C$20)))</f>
        <v>0</v>
      </c>
      <c r="CZ303" s="42" t="str">
        <f>IFERROR((AVERAGE(BN303:CK303)*6-'基本数据输入&amp;测算结果'!$C$24*6)/'基本数据输入&amp;测算结果'!$C$21/'基本数据输入&amp;测算结果'!$C$22,"无数据/数据缺失")</f>
        <v>无数据/数据缺失</v>
      </c>
      <c r="DA303" s="42">
        <f>IF(CZ303&lt;0,0,IF(CZ303="无数据/数据缺失",0,IF('基本数据输入&amp;测算结果'!$C$20*CY303&gt;CZ303,CZ303/'基本数据输入&amp;测算结果'!$C$20*CY303,CY303)))</f>
        <v>0</v>
      </c>
      <c r="DB303" s="49">
        <f t="shared" si="13"/>
        <v>0</v>
      </c>
      <c r="DC303" s="50"/>
      <c r="DD303" s="50"/>
    </row>
    <row r="304" customHeight="1" spans="1:108">
      <c r="A304" s="52">
        <v>45229</v>
      </c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1"/>
      <c r="AM304" s="51"/>
      <c r="AN304" s="51"/>
      <c r="AO304" s="51"/>
      <c r="AP304" s="51"/>
      <c r="AQ304" s="51"/>
      <c r="AR304" s="51"/>
      <c r="AS304" s="51"/>
      <c r="AT304" s="51"/>
      <c r="AU304" s="51"/>
      <c r="AV304" s="51"/>
      <c r="AW304" s="51"/>
      <c r="AX304" s="51"/>
      <c r="AY304" s="51"/>
      <c r="AZ304" s="51"/>
      <c r="BA304" s="51"/>
      <c r="BB304" s="51"/>
      <c r="BC304" s="51"/>
      <c r="BD304" s="51"/>
      <c r="BE304" s="51"/>
      <c r="BF304" s="51"/>
      <c r="BG304" s="51"/>
      <c r="BH304" s="51"/>
      <c r="BI304" s="51"/>
      <c r="BJ304" s="51"/>
      <c r="BK304" s="51"/>
      <c r="BL304" s="51"/>
      <c r="BM304" s="51"/>
      <c r="BN304" s="51"/>
      <c r="BO304" s="51"/>
      <c r="BP304" s="51"/>
      <c r="BQ304" s="51"/>
      <c r="BR304" s="51"/>
      <c r="BS304" s="51"/>
      <c r="BT304" s="51"/>
      <c r="BU304" s="51"/>
      <c r="BV304" s="51"/>
      <c r="BW304" s="51"/>
      <c r="BX304" s="51"/>
      <c r="BY304" s="51"/>
      <c r="BZ304" s="51"/>
      <c r="CA304" s="51"/>
      <c r="CB304" s="51"/>
      <c r="CC304" s="51"/>
      <c r="CD304" s="51"/>
      <c r="CE304" s="51"/>
      <c r="CF304" s="51"/>
      <c r="CG304" s="51"/>
      <c r="CH304" s="51"/>
      <c r="CI304" s="51"/>
      <c r="CJ304" s="51"/>
      <c r="CK304" s="51"/>
      <c r="CL304" s="51"/>
      <c r="CM304" s="51"/>
      <c r="CN304" s="51"/>
      <c r="CO304" s="51"/>
      <c r="CP304" s="51"/>
      <c r="CQ304" s="51"/>
      <c r="CR304" s="51"/>
      <c r="CS304" s="51"/>
      <c r="CT304" s="42" t="str">
        <f>IFERROR(('基本数据输入&amp;测算结果'!$C$19*7-AVERAGE(B304:Y304,CP304:CS304)*7-'基本数据输入&amp;测算结果'!$C$23*7)/'基本数据输入&amp;测算结果'!$C$21*'基本数据输入&amp;测算结果'!$C$22,"无数据/数据缺失")</f>
        <v>无数据/数据缺失</v>
      </c>
      <c r="CU304" s="42">
        <f>IF(CT304&lt;0,0,IF(CT304="无数据/数据缺失",0%,IF(CT304&gt;'基本数据输入&amp;测算结果'!$C$20,100%,CT304/'基本数据输入&amp;测算结果'!$C$20)))</f>
        <v>0</v>
      </c>
      <c r="CV304" s="42" t="str">
        <f>IFERROR((AVERAGE(Z304:AG304)*2-'基本数据输入&amp;测算结果'!$C$24*2)/'基本数据输入&amp;测算结果'!$C$21/'基本数据输入&amp;测算结果'!$C$22,"无数据/数据缺失")</f>
        <v>无数据/数据缺失</v>
      </c>
      <c r="CW304" s="42">
        <f>IF(CV304&lt;0,0,IF(CV304="无数据/数据缺失",0%,IF(CV304&gt;'基本数据输入&amp;测算结果'!$C$20*CU304,CU304,CV304/'基本数据输入&amp;测算结果'!$C$20*CU304)))</f>
        <v>0</v>
      </c>
      <c r="CX304" s="42" t="str">
        <f>IFERROR(('基本数据输入&amp;测算结果'!$C$19*3-AVERAGE(AT304:BE304)*3-'基本数据输入&amp;测算结果'!$C$23*3)/'基本数据输入&amp;测算结果'!$C$21*'基本数据输入&amp;测算结果'!$C$22,"无数据/数据缺失")</f>
        <v>无数据/数据缺失</v>
      </c>
      <c r="CY304" s="42">
        <f>IF(CX304&lt;0,0,IF(CX304="无数据/数据缺失",0%,IF(CX304&gt;'基本数据输入&amp;测算结果'!$C$20,100%,CX304/'基本数据输入&amp;测算结果'!$C$20)))</f>
        <v>0</v>
      </c>
      <c r="CZ304" s="42" t="str">
        <f>IFERROR((AVERAGE(BN304:CK304)*6-'基本数据输入&amp;测算结果'!$C$24*6)/'基本数据输入&amp;测算结果'!$C$21/'基本数据输入&amp;测算结果'!$C$22,"无数据/数据缺失")</f>
        <v>无数据/数据缺失</v>
      </c>
      <c r="DA304" s="42">
        <f>IF(CZ304&lt;0,0,IF(CZ304="无数据/数据缺失",0,IF('基本数据输入&amp;测算结果'!$C$20*CY304&gt;CZ304,CZ304/'基本数据输入&amp;测算结果'!$C$20*CY304,CY304)))</f>
        <v>0</v>
      </c>
      <c r="DB304" s="49">
        <f t="shared" si="13"/>
        <v>0</v>
      </c>
      <c r="DC304" s="50"/>
      <c r="DD304" s="50"/>
    </row>
    <row r="305" s="42" customFormat="1" customHeight="1" spans="1:108">
      <c r="A305" s="52">
        <v>45230</v>
      </c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1"/>
      <c r="AM305" s="51"/>
      <c r="AN305" s="51"/>
      <c r="AO305" s="51"/>
      <c r="AP305" s="51"/>
      <c r="AQ305" s="51"/>
      <c r="AR305" s="51"/>
      <c r="AS305" s="51"/>
      <c r="AT305" s="51"/>
      <c r="AU305" s="51"/>
      <c r="AV305" s="51"/>
      <c r="AW305" s="51"/>
      <c r="AX305" s="51"/>
      <c r="AY305" s="51"/>
      <c r="AZ305" s="51"/>
      <c r="BA305" s="51"/>
      <c r="BB305" s="51"/>
      <c r="BC305" s="51"/>
      <c r="BD305" s="51"/>
      <c r="BE305" s="51"/>
      <c r="BF305" s="51"/>
      <c r="BG305" s="51"/>
      <c r="BH305" s="51"/>
      <c r="BI305" s="51"/>
      <c r="BJ305" s="51"/>
      <c r="BK305" s="51"/>
      <c r="BL305" s="51"/>
      <c r="BM305" s="51"/>
      <c r="BN305" s="51"/>
      <c r="BO305" s="51"/>
      <c r="BP305" s="51"/>
      <c r="BQ305" s="51"/>
      <c r="BR305" s="51"/>
      <c r="BS305" s="51"/>
      <c r="BT305" s="51"/>
      <c r="BU305" s="51"/>
      <c r="BV305" s="51"/>
      <c r="BW305" s="51"/>
      <c r="BX305" s="51"/>
      <c r="BY305" s="51"/>
      <c r="BZ305" s="51"/>
      <c r="CA305" s="51"/>
      <c r="CB305" s="51"/>
      <c r="CC305" s="51"/>
      <c r="CD305" s="51"/>
      <c r="CE305" s="51"/>
      <c r="CF305" s="51"/>
      <c r="CG305" s="51"/>
      <c r="CH305" s="51"/>
      <c r="CI305" s="51"/>
      <c r="CJ305" s="51"/>
      <c r="CK305" s="51"/>
      <c r="CL305" s="51"/>
      <c r="CM305" s="51"/>
      <c r="CN305" s="51"/>
      <c r="CO305" s="51"/>
      <c r="CP305" s="51"/>
      <c r="CQ305" s="51"/>
      <c r="CR305" s="51"/>
      <c r="CS305" s="51"/>
      <c r="CT305" s="42" t="str">
        <f>IFERROR(('基本数据输入&amp;测算结果'!$C$19*7-AVERAGE(B305:Y305,CP305:CS305)*7-'基本数据输入&amp;测算结果'!$C$23*7)/'基本数据输入&amp;测算结果'!$C$21*'基本数据输入&amp;测算结果'!$C$22,"无数据/数据缺失")</f>
        <v>无数据/数据缺失</v>
      </c>
      <c r="CU305" s="42">
        <f>IF(CT305&lt;0,0,IF(CT305="无数据/数据缺失",0%,IF(CT305&gt;'基本数据输入&amp;测算结果'!$C$20,100%,CT305/'基本数据输入&amp;测算结果'!$C$20)))</f>
        <v>0</v>
      </c>
      <c r="CV305" s="42" t="str">
        <f>IFERROR((AVERAGE(Z305:AG305)*2-'基本数据输入&amp;测算结果'!$C$24*2)/'基本数据输入&amp;测算结果'!$C$21/'基本数据输入&amp;测算结果'!$C$22,"无数据/数据缺失")</f>
        <v>无数据/数据缺失</v>
      </c>
      <c r="CW305" s="42">
        <f>IF(CV305&lt;0,0,IF(CV305="无数据/数据缺失",0%,IF(CV305&gt;'基本数据输入&amp;测算结果'!$C$20*CU305,CU305,CV305/'基本数据输入&amp;测算结果'!$C$20*CU305)))</f>
        <v>0</v>
      </c>
      <c r="CX305" s="42" t="str">
        <f>IFERROR(('基本数据输入&amp;测算结果'!$C$19*3-AVERAGE(AT305:BE305)*3-'基本数据输入&amp;测算结果'!$C$23*3)/'基本数据输入&amp;测算结果'!$C$21*'基本数据输入&amp;测算结果'!$C$22,"无数据/数据缺失")</f>
        <v>无数据/数据缺失</v>
      </c>
      <c r="CY305" s="42">
        <f>IF(CX305&lt;0,0,IF(CX305="无数据/数据缺失",0%,IF(CX305&gt;'基本数据输入&amp;测算结果'!$C$20,100%,CX305/'基本数据输入&amp;测算结果'!$C$20)))</f>
        <v>0</v>
      </c>
      <c r="CZ305" s="42" t="str">
        <f>IFERROR((AVERAGE(BN305:CK305)*6-'基本数据输入&amp;测算结果'!$C$24*6)/'基本数据输入&amp;测算结果'!$C$21/'基本数据输入&amp;测算结果'!$C$22,"无数据/数据缺失")</f>
        <v>无数据/数据缺失</v>
      </c>
      <c r="DA305" s="42">
        <f>IF(CZ305&lt;0,0,IF(CZ305="无数据/数据缺失",0,IF('基本数据输入&amp;测算结果'!$C$20*CY305&gt;CZ305,CZ305/'基本数据输入&amp;测算结果'!$C$20*CY305,CY305)))</f>
        <v>0</v>
      </c>
      <c r="DB305" s="49">
        <f t="shared" si="13"/>
        <v>0</v>
      </c>
      <c r="DC305" s="50"/>
      <c r="DD305" s="50"/>
    </row>
    <row r="306" customHeight="1" spans="1:108">
      <c r="A306" s="52" t="s">
        <v>348</v>
      </c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1"/>
      <c r="AM306" s="51"/>
      <c r="AN306" s="51"/>
      <c r="AO306" s="51"/>
      <c r="AP306" s="51"/>
      <c r="AQ306" s="51"/>
      <c r="AR306" s="51"/>
      <c r="AS306" s="51"/>
      <c r="AT306" s="51"/>
      <c r="AU306" s="51"/>
      <c r="AV306" s="51"/>
      <c r="AW306" s="51"/>
      <c r="AX306" s="51"/>
      <c r="AY306" s="51"/>
      <c r="AZ306" s="51"/>
      <c r="BA306" s="51"/>
      <c r="BB306" s="51"/>
      <c r="BC306" s="51"/>
      <c r="BD306" s="51"/>
      <c r="BE306" s="51"/>
      <c r="BF306" s="51"/>
      <c r="BG306" s="51"/>
      <c r="BH306" s="51"/>
      <c r="BI306" s="51"/>
      <c r="BJ306" s="51"/>
      <c r="BK306" s="51"/>
      <c r="BL306" s="51"/>
      <c r="BM306" s="51"/>
      <c r="BN306" s="51"/>
      <c r="BO306" s="51"/>
      <c r="BP306" s="51"/>
      <c r="BQ306" s="51"/>
      <c r="BR306" s="51"/>
      <c r="BS306" s="51"/>
      <c r="BT306" s="51"/>
      <c r="BU306" s="51"/>
      <c r="BV306" s="51"/>
      <c r="BW306" s="51"/>
      <c r="BX306" s="51"/>
      <c r="BY306" s="51"/>
      <c r="BZ306" s="51"/>
      <c r="CA306" s="51"/>
      <c r="CB306" s="51"/>
      <c r="CC306" s="51"/>
      <c r="CD306" s="51"/>
      <c r="CE306" s="51"/>
      <c r="CF306" s="51"/>
      <c r="CG306" s="51"/>
      <c r="CH306" s="51"/>
      <c r="CI306" s="51"/>
      <c r="CJ306" s="51"/>
      <c r="CK306" s="51"/>
      <c r="CL306" s="51"/>
      <c r="CM306" s="51"/>
      <c r="CN306" s="51"/>
      <c r="CO306" s="51"/>
      <c r="CP306" s="51"/>
      <c r="CQ306" s="51"/>
      <c r="CR306" s="51"/>
      <c r="CS306" s="51"/>
      <c r="CT306" s="42" t="str">
        <f>IFERROR(('基本数据输入&amp;测算结果'!$C$19*7-AVERAGE(B306:Y306,CP306:CS306)*7-'基本数据输入&amp;测算结果'!$C$23*7)/'基本数据输入&amp;测算结果'!$C$21*'基本数据输入&amp;测算结果'!$C$22,"无数据/数据缺失")</f>
        <v>无数据/数据缺失</v>
      </c>
      <c r="CU306" s="42">
        <f>IF(CT306&lt;0,0,IF(CT306="无数据/数据缺失",0%,IF(CT306&gt;'基本数据输入&amp;测算结果'!$C$20,100%,CT306/'基本数据输入&amp;测算结果'!$C$20)))</f>
        <v>0</v>
      </c>
      <c r="CV306" s="42" t="str">
        <f>IFERROR((AVERAGE(Z306:AG306)*2-'基本数据输入&amp;测算结果'!$C$24*2)/'基本数据输入&amp;测算结果'!$C$21/'基本数据输入&amp;测算结果'!$C$22,"无数据/数据缺失")</f>
        <v>无数据/数据缺失</v>
      </c>
      <c r="CW306" s="42">
        <f>IF(CV306&lt;0,0,IF(CV306="无数据/数据缺失",0%,IF(CV306&gt;'基本数据输入&amp;测算结果'!$C$20*CU306,CU306,CV306/'基本数据输入&amp;测算结果'!$C$20*CU306)))</f>
        <v>0</v>
      </c>
      <c r="CX306" s="42" t="str">
        <f>IFERROR(('基本数据输入&amp;测算结果'!$C$19*3-AVERAGE(AT306:BE306)*3-'基本数据输入&amp;测算结果'!$C$23*3)/'基本数据输入&amp;测算结果'!$C$21*'基本数据输入&amp;测算结果'!$C$22,"无数据/数据缺失")</f>
        <v>无数据/数据缺失</v>
      </c>
      <c r="CY306" s="42">
        <f>IF(CX306&lt;0,0,IF(CX306="无数据/数据缺失",0%,IF(CX306&gt;'基本数据输入&amp;测算结果'!$C$20,100%,CX306/'基本数据输入&amp;测算结果'!$C$20)))</f>
        <v>0</v>
      </c>
      <c r="CZ306" s="42" t="str">
        <f>IFERROR((AVERAGE(BN306:CK306)*6-'基本数据输入&amp;测算结果'!$C$24*6)/'基本数据输入&amp;测算结果'!$C$21/'基本数据输入&amp;测算结果'!$C$22,"无数据/数据缺失")</f>
        <v>无数据/数据缺失</v>
      </c>
      <c r="DA306" s="42">
        <f>IF(CZ306&lt;0,0,IF(CZ306="无数据/数据缺失",0,IF('基本数据输入&amp;测算结果'!$C$20*CY306&gt;CZ306,CZ306/'基本数据输入&amp;测算结果'!$C$20*CY306,CY306)))</f>
        <v>0</v>
      </c>
      <c r="DB306" s="49">
        <f t="shared" si="13"/>
        <v>0</v>
      </c>
      <c r="DC306" s="50"/>
      <c r="DD306" s="50"/>
    </row>
    <row r="307" customHeight="1" spans="1:108">
      <c r="A307" s="52" t="s">
        <v>349</v>
      </c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1"/>
      <c r="AN307" s="51"/>
      <c r="AO307" s="51"/>
      <c r="AP307" s="51"/>
      <c r="AQ307" s="51"/>
      <c r="AR307" s="51"/>
      <c r="AS307" s="51"/>
      <c r="AT307" s="51"/>
      <c r="AU307" s="51"/>
      <c r="AV307" s="51"/>
      <c r="AW307" s="51"/>
      <c r="AX307" s="51"/>
      <c r="AY307" s="51"/>
      <c r="AZ307" s="51"/>
      <c r="BA307" s="51"/>
      <c r="BB307" s="51"/>
      <c r="BC307" s="51"/>
      <c r="BD307" s="51"/>
      <c r="BE307" s="51"/>
      <c r="BF307" s="51"/>
      <c r="BG307" s="51"/>
      <c r="BH307" s="51"/>
      <c r="BI307" s="51"/>
      <c r="BJ307" s="51"/>
      <c r="BK307" s="51"/>
      <c r="BL307" s="51"/>
      <c r="BM307" s="51"/>
      <c r="BN307" s="51"/>
      <c r="BO307" s="51"/>
      <c r="BP307" s="51"/>
      <c r="BQ307" s="51"/>
      <c r="BR307" s="51"/>
      <c r="BS307" s="51"/>
      <c r="BT307" s="51"/>
      <c r="BU307" s="51"/>
      <c r="BV307" s="51"/>
      <c r="BW307" s="51"/>
      <c r="BX307" s="51"/>
      <c r="BY307" s="51"/>
      <c r="BZ307" s="51"/>
      <c r="CA307" s="51"/>
      <c r="CB307" s="51"/>
      <c r="CC307" s="51"/>
      <c r="CD307" s="51"/>
      <c r="CE307" s="51"/>
      <c r="CF307" s="51"/>
      <c r="CG307" s="51"/>
      <c r="CH307" s="51"/>
      <c r="CI307" s="51"/>
      <c r="CJ307" s="51"/>
      <c r="CK307" s="51"/>
      <c r="CL307" s="51"/>
      <c r="CM307" s="51"/>
      <c r="CN307" s="51"/>
      <c r="CO307" s="51"/>
      <c r="CP307" s="51"/>
      <c r="CQ307" s="51"/>
      <c r="CR307" s="51"/>
      <c r="CS307" s="51"/>
      <c r="CT307" s="42" t="str">
        <f>IFERROR(('基本数据输入&amp;测算结果'!$C$19*7-AVERAGE(B307:Y307,CP307:CS307)*7-'基本数据输入&amp;测算结果'!$C$23*7)/'基本数据输入&amp;测算结果'!$C$21*'基本数据输入&amp;测算结果'!$C$22,"无数据/数据缺失")</f>
        <v>无数据/数据缺失</v>
      </c>
      <c r="CU307" s="42">
        <f>IF(CT307&lt;0,0,IF(CT307="无数据/数据缺失",0%,IF(CT307&gt;'基本数据输入&amp;测算结果'!$C$20,100%,CT307/'基本数据输入&amp;测算结果'!$C$20)))</f>
        <v>0</v>
      </c>
      <c r="CV307" s="42" t="str">
        <f>IFERROR((AVERAGE(Z307:AG307)*2-'基本数据输入&amp;测算结果'!$C$24*2)/'基本数据输入&amp;测算结果'!$C$21/'基本数据输入&amp;测算结果'!$C$22,"无数据/数据缺失")</f>
        <v>无数据/数据缺失</v>
      </c>
      <c r="CW307" s="42">
        <f>IF(CV307&lt;0,0,IF(CV307="无数据/数据缺失",0%,IF(CV307&gt;'基本数据输入&amp;测算结果'!$C$20*CU307,CU307,CV307/'基本数据输入&amp;测算结果'!$C$20*CU307)))</f>
        <v>0</v>
      </c>
      <c r="CX307" s="42" t="str">
        <f>IFERROR(('基本数据输入&amp;测算结果'!$C$19*3-AVERAGE(AT307:BE307)*3-'基本数据输入&amp;测算结果'!$C$23*3)/'基本数据输入&amp;测算结果'!$C$21*'基本数据输入&amp;测算结果'!$C$22,"无数据/数据缺失")</f>
        <v>无数据/数据缺失</v>
      </c>
      <c r="CY307" s="42">
        <f>IF(CX307&lt;0,0,IF(CX307="无数据/数据缺失",0%,IF(CX307&gt;'基本数据输入&amp;测算结果'!$C$20,100%,CX307/'基本数据输入&amp;测算结果'!$C$20)))</f>
        <v>0</v>
      </c>
      <c r="CZ307" s="42" t="str">
        <f>IFERROR((AVERAGE(BN307:CK307)*6-'基本数据输入&amp;测算结果'!$C$24*6)/'基本数据输入&amp;测算结果'!$C$21/'基本数据输入&amp;测算结果'!$C$22,"无数据/数据缺失")</f>
        <v>无数据/数据缺失</v>
      </c>
      <c r="DA307" s="42">
        <f>IF(CZ307&lt;0,0,IF(CZ307="无数据/数据缺失",0,IF('基本数据输入&amp;测算结果'!$C$20*CY307&gt;CZ307,CZ307/'基本数据输入&amp;测算结果'!$C$20*CY307,CY307)))</f>
        <v>0</v>
      </c>
      <c r="DB307" s="49">
        <f t="shared" si="13"/>
        <v>0</v>
      </c>
      <c r="DC307" s="50"/>
      <c r="DD307" s="50"/>
    </row>
    <row r="308" customHeight="1" spans="1:108">
      <c r="A308" s="52" t="s">
        <v>350</v>
      </c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  <c r="AL308" s="51"/>
      <c r="AM308" s="51"/>
      <c r="AN308" s="51"/>
      <c r="AO308" s="51"/>
      <c r="AP308" s="51"/>
      <c r="AQ308" s="51"/>
      <c r="AR308" s="51"/>
      <c r="AS308" s="51"/>
      <c r="AT308" s="51"/>
      <c r="AU308" s="51"/>
      <c r="AV308" s="51"/>
      <c r="AW308" s="51"/>
      <c r="AX308" s="51"/>
      <c r="AY308" s="51"/>
      <c r="AZ308" s="51"/>
      <c r="BA308" s="51"/>
      <c r="BB308" s="51"/>
      <c r="BC308" s="51"/>
      <c r="BD308" s="51"/>
      <c r="BE308" s="51"/>
      <c r="BF308" s="51"/>
      <c r="BG308" s="51"/>
      <c r="BH308" s="51"/>
      <c r="BI308" s="51"/>
      <c r="BJ308" s="51"/>
      <c r="BK308" s="51"/>
      <c r="BL308" s="51"/>
      <c r="BM308" s="51"/>
      <c r="BN308" s="51"/>
      <c r="BO308" s="51"/>
      <c r="BP308" s="51"/>
      <c r="BQ308" s="51"/>
      <c r="BR308" s="51"/>
      <c r="BS308" s="51"/>
      <c r="BT308" s="51"/>
      <c r="BU308" s="51"/>
      <c r="BV308" s="51"/>
      <c r="BW308" s="51"/>
      <c r="BX308" s="51"/>
      <c r="BY308" s="51"/>
      <c r="BZ308" s="51"/>
      <c r="CA308" s="51"/>
      <c r="CB308" s="51"/>
      <c r="CC308" s="51"/>
      <c r="CD308" s="51"/>
      <c r="CE308" s="51"/>
      <c r="CF308" s="51"/>
      <c r="CG308" s="51"/>
      <c r="CH308" s="51"/>
      <c r="CI308" s="51"/>
      <c r="CJ308" s="51"/>
      <c r="CK308" s="51"/>
      <c r="CL308" s="51"/>
      <c r="CM308" s="51"/>
      <c r="CN308" s="51"/>
      <c r="CO308" s="51"/>
      <c r="CP308" s="51"/>
      <c r="CQ308" s="51"/>
      <c r="CR308" s="51"/>
      <c r="CS308" s="51"/>
      <c r="CT308" s="42" t="str">
        <f>IFERROR(('基本数据输入&amp;测算结果'!$C$19*7-AVERAGE(B308:Y308,CP308:CS308)*7-'基本数据输入&amp;测算结果'!$C$23*7)/'基本数据输入&amp;测算结果'!$C$21*'基本数据输入&amp;测算结果'!$C$22,"无数据/数据缺失")</f>
        <v>无数据/数据缺失</v>
      </c>
      <c r="CU308" s="42">
        <f>IF(CT308&lt;0,0,IF(CT308="无数据/数据缺失",0%,IF(CT308&gt;'基本数据输入&amp;测算结果'!$C$20,100%,CT308/'基本数据输入&amp;测算结果'!$C$20)))</f>
        <v>0</v>
      </c>
      <c r="CV308" s="42" t="str">
        <f>IFERROR((AVERAGE(Z308:AG308)*2-'基本数据输入&amp;测算结果'!$C$24*2)/'基本数据输入&amp;测算结果'!$C$21/'基本数据输入&amp;测算结果'!$C$22,"无数据/数据缺失")</f>
        <v>无数据/数据缺失</v>
      </c>
      <c r="CW308" s="42">
        <f>IF(CV308&lt;0,0,IF(CV308="无数据/数据缺失",0%,IF(CV308&gt;'基本数据输入&amp;测算结果'!$C$20*CU308,CU308,CV308/'基本数据输入&amp;测算结果'!$C$20*CU308)))</f>
        <v>0</v>
      </c>
      <c r="CX308" s="42" t="str">
        <f>IFERROR(('基本数据输入&amp;测算结果'!$C$19*3-AVERAGE(AT308:BE308)*3-'基本数据输入&amp;测算结果'!$C$23*3)/'基本数据输入&amp;测算结果'!$C$21*'基本数据输入&amp;测算结果'!$C$22,"无数据/数据缺失")</f>
        <v>无数据/数据缺失</v>
      </c>
      <c r="CY308" s="42">
        <f>IF(CX308&lt;0,0,IF(CX308="无数据/数据缺失",0%,IF(CX308&gt;'基本数据输入&amp;测算结果'!$C$20,100%,CX308/'基本数据输入&amp;测算结果'!$C$20)))</f>
        <v>0</v>
      </c>
      <c r="CZ308" s="42" t="str">
        <f>IFERROR((AVERAGE(BN308:CK308)*6-'基本数据输入&amp;测算结果'!$C$24*6)/'基本数据输入&amp;测算结果'!$C$21/'基本数据输入&amp;测算结果'!$C$22,"无数据/数据缺失")</f>
        <v>无数据/数据缺失</v>
      </c>
      <c r="DA308" s="42">
        <f>IF(CZ308&lt;0,0,IF(CZ308="无数据/数据缺失",0,IF('基本数据输入&amp;测算结果'!$C$20*CY308&gt;CZ308,CZ308/'基本数据输入&amp;测算结果'!$C$20*CY308,CY308)))</f>
        <v>0</v>
      </c>
      <c r="DB308" s="49">
        <f t="shared" si="13"/>
        <v>0</v>
      </c>
      <c r="DC308" s="50"/>
      <c r="DD308" s="50"/>
    </row>
    <row r="309" customHeight="1" spans="1:108">
      <c r="A309" s="52" t="s">
        <v>351</v>
      </c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  <c r="AI309" s="51"/>
      <c r="AJ309" s="51"/>
      <c r="AK309" s="51"/>
      <c r="AL309" s="51"/>
      <c r="AM309" s="51"/>
      <c r="AN309" s="51"/>
      <c r="AO309" s="51"/>
      <c r="AP309" s="51"/>
      <c r="AQ309" s="51"/>
      <c r="AR309" s="51"/>
      <c r="AS309" s="51"/>
      <c r="AT309" s="51"/>
      <c r="AU309" s="51"/>
      <c r="AV309" s="51"/>
      <c r="AW309" s="51"/>
      <c r="AX309" s="51"/>
      <c r="AY309" s="51"/>
      <c r="AZ309" s="51"/>
      <c r="BA309" s="51"/>
      <c r="BB309" s="51"/>
      <c r="BC309" s="51"/>
      <c r="BD309" s="51"/>
      <c r="BE309" s="51"/>
      <c r="BF309" s="51"/>
      <c r="BG309" s="51"/>
      <c r="BH309" s="51"/>
      <c r="BI309" s="51"/>
      <c r="BJ309" s="51"/>
      <c r="BK309" s="51"/>
      <c r="BL309" s="51"/>
      <c r="BM309" s="51"/>
      <c r="BN309" s="51"/>
      <c r="BO309" s="51"/>
      <c r="BP309" s="51"/>
      <c r="BQ309" s="51"/>
      <c r="BR309" s="51"/>
      <c r="BS309" s="51"/>
      <c r="BT309" s="51"/>
      <c r="BU309" s="51"/>
      <c r="BV309" s="51"/>
      <c r="BW309" s="51"/>
      <c r="BX309" s="51"/>
      <c r="BY309" s="51"/>
      <c r="BZ309" s="51"/>
      <c r="CA309" s="51"/>
      <c r="CB309" s="51"/>
      <c r="CC309" s="51"/>
      <c r="CD309" s="51"/>
      <c r="CE309" s="51"/>
      <c r="CF309" s="51"/>
      <c r="CG309" s="51"/>
      <c r="CH309" s="51"/>
      <c r="CI309" s="51"/>
      <c r="CJ309" s="51"/>
      <c r="CK309" s="51"/>
      <c r="CL309" s="51"/>
      <c r="CM309" s="51"/>
      <c r="CN309" s="51"/>
      <c r="CO309" s="51"/>
      <c r="CP309" s="51"/>
      <c r="CQ309" s="51"/>
      <c r="CR309" s="51"/>
      <c r="CS309" s="51"/>
      <c r="CT309" s="42" t="str">
        <f>IFERROR(('基本数据输入&amp;测算结果'!$C$19*7-AVERAGE(B309:Y309,CP309:CS309)*7-'基本数据输入&amp;测算结果'!$C$23*7)/'基本数据输入&amp;测算结果'!$C$21*'基本数据输入&amp;测算结果'!$C$22,"无数据/数据缺失")</f>
        <v>无数据/数据缺失</v>
      </c>
      <c r="CU309" s="42">
        <f>IF(CT309&lt;0,0,IF(CT309="无数据/数据缺失",0%,IF(CT309&gt;'基本数据输入&amp;测算结果'!$C$20,100%,CT309/'基本数据输入&amp;测算结果'!$C$20)))</f>
        <v>0</v>
      </c>
      <c r="CV309" s="42" t="str">
        <f>IFERROR((AVERAGE(Z309:AG309)*2-'基本数据输入&amp;测算结果'!$C$24*2)/'基本数据输入&amp;测算结果'!$C$21/'基本数据输入&amp;测算结果'!$C$22,"无数据/数据缺失")</f>
        <v>无数据/数据缺失</v>
      </c>
      <c r="CW309" s="42">
        <f>IF(CV309&lt;0,0,IF(CV309="无数据/数据缺失",0%,IF(CV309&gt;'基本数据输入&amp;测算结果'!$C$20*CU309,CU309,CV309/'基本数据输入&amp;测算结果'!$C$20*CU309)))</f>
        <v>0</v>
      </c>
      <c r="CX309" s="42" t="str">
        <f>IFERROR(('基本数据输入&amp;测算结果'!$C$19*3-AVERAGE(AT309:BE309)*3-'基本数据输入&amp;测算结果'!$C$23*3)/'基本数据输入&amp;测算结果'!$C$21*'基本数据输入&amp;测算结果'!$C$22,"无数据/数据缺失")</f>
        <v>无数据/数据缺失</v>
      </c>
      <c r="CY309" s="42">
        <f>IF(CX309&lt;0,0,IF(CX309="无数据/数据缺失",0%,IF(CX309&gt;'基本数据输入&amp;测算结果'!$C$20,100%,CX309/'基本数据输入&amp;测算结果'!$C$20)))</f>
        <v>0</v>
      </c>
      <c r="CZ309" s="42" t="str">
        <f>IFERROR((AVERAGE(BN309:CK309)*6-'基本数据输入&amp;测算结果'!$C$24*6)/'基本数据输入&amp;测算结果'!$C$21/'基本数据输入&amp;测算结果'!$C$22,"无数据/数据缺失")</f>
        <v>无数据/数据缺失</v>
      </c>
      <c r="DA309" s="42">
        <f>IF(CZ309&lt;0,0,IF(CZ309="无数据/数据缺失",0,IF('基本数据输入&amp;测算结果'!$C$20*CY309&gt;CZ309,CZ309/'基本数据输入&amp;测算结果'!$C$20*CY309,CY309)))</f>
        <v>0</v>
      </c>
      <c r="DB309" s="49">
        <f t="shared" si="13"/>
        <v>0</v>
      </c>
      <c r="DC309" s="50"/>
      <c r="DD309" s="50"/>
    </row>
    <row r="310" customHeight="1" spans="1:108">
      <c r="A310" s="52" t="s">
        <v>352</v>
      </c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1"/>
      <c r="AM310" s="51"/>
      <c r="AN310" s="51"/>
      <c r="AO310" s="51"/>
      <c r="AP310" s="51"/>
      <c r="AQ310" s="51"/>
      <c r="AR310" s="51"/>
      <c r="AS310" s="51"/>
      <c r="AT310" s="51"/>
      <c r="AU310" s="51"/>
      <c r="AV310" s="51"/>
      <c r="AW310" s="51"/>
      <c r="AX310" s="51"/>
      <c r="AY310" s="51"/>
      <c r="AZ310" s="51"/>
      <c r="BA310" s="51"/>
      <c r="BB310" s="51"/>
      <c r="BC310" s="51"/>
      <c r="BD310" s="51"/>
      <c r="BE310" s="51"/>
      <c r="BF310" s="51"/>
      <c r="BG310" s="51"/>
      <c r="BH310" s="51"/>
      <c r="BI310" s="51"/>
      <c r="BJ310" s="51"/>
      <c r="BK310" s="51"/>
      <c r="BL310" s="51"/>
      <c r="BM310" s="51"/>
      <c r="BN310" s="51"/>
      <c r="BO310" s="51"/>
      <c r="BP310" s="51"/>
      <c r="BQ310" s="51"/>
      <c r="BR310" s="51"/>
      <c r="BS310" s="51"/>
      <c r="BT310" s="51"/>
      <c r="BU310" s="51"/>
      <c r="BV310" s="51"/>
      <c r="BW310" s="51"/>
      <c r="BX310" s="51"/>
      <c r="BY310" s="51"/>
      <c r="BZ310" s="51"/>
      <c r="CA310" s="51"/>
      <c r="CB310" s="51"/>
      <c r="CC310" s="51"/>
      <c r="CD310" s="51"/>
      <c r="CE310" s="51"/>
      <c r="CF310" s="51"/>
      <c r="CG310" s="51"/>
      <c r="CH310" s="51"/>
      <c r="CI310" s="51"/>
      <c r="CJ310" s="51"/>
      <c r="CK310" s="51"/>
      <c r="CL310" s="51"/>
      <c r="CM310" s="51"/>
      <c r="CN310" s="51"/>
      <c r="CO310" s="51"/>
      <c r="CP310" s="51"/>
      <c r="CQ310" s="51"/>
      <c r="CR310" s="51"/>
      <c r="CS310" s="51"/>
      <c r="CT310" s="42" t="str">
        <f>IFERROR(('基本数据输入&amp;测算结果'!$C$19*7-AVERAGE(B310:Y310,CP310:CS310)*7-'基本数据输入&amp;测算结果'!$C$23*7)/'基本数据输入&amp;测算结果'!$C$21*'基本数据输入&amp;测算结果'!$C$22,"无数据/数据缺失")</f>
        <v>无数据/数据缺失</v>
      </c>
      <c r="CU310" s="42">
        <f>IF(CT310&lt;0,0,IF(CT310="无数据/数据缺失",0%,IF(CT310&gt;'基本数据输入&amp;测算结果'!$C$20,100%,CT310/'基本数据输入&amp;测算结果'!$C$20)))</f>
        <v>0</v>
      </c>
      <c r="CV310" s="42" t="str">
        <f>IFERROR((AVERAGE(Z310:AG310)*2-'基本数据输入&amp;测算结果'!$C$24*2)/'基本数据输入&amp;测算结果'!$C$21/'基本数据输入&amp;测算结果'!$C$22,"无数据/数据缺失")</f>
        <v>无数据/数据缺失</v>
      </c>
      <c r="CW310" s="42">
        <f>IF(CV310&lt;0,0,IF(CV310="无数据/数据缺失",0%,IF(CV310&gt;'基本数据输入&amp;测算结果'!$C$20*CU310,CU310,CV310/'基本数据输入&amp;测算结果'!$C$20*CU310)))</f>
        <v>0</v>
      </c>
      <c r="CX310" s="42" t="str">
        <f>IFERROR(('基本数据输入&amp;测算结果'!$C$19*3-AVERAGE(AT310:BE310)*3-'基本数据输入&amp;测算结果'!$C$23*3)/'基本数据输入&amp;测算结果'!$C$21*'基本数据输入&amp;测算结果'!$C$22,"无数据/数据缺失")</f>
        <v>无数据/数据缺失</v>
      </c>
      <c r="CY310" s="42">
        <f>IF(CX310&lt;0,0,IF(CX310="无数据/数据缺失",0%,IF(CX310&gt;'基本数据输入&amp;测算结果'!$C$20,100%,CX310/'基本数据输入&amp;测算结果'!$C$20)))</f>
        <v>0</v>
      </c>
      <c r="CZ310" s="42" t="str">
        <f>IFERROR((AVERAGE(BN310:CK310)*6-'基本数据输入&amp;测算结果'!$C$24*6)/'基本数据输入&amp;测算结果'!$C$21/'基本数据输入&amp;测算结果'!$C$22,"无数据/数据缺失")</f>
        <v>无数据/数据缺失</v>
      </c>
      <c r="DA310" s="42">
        <f>IF(CZ310&lt;0,0,IF(CZ310="无数据/数据缺失",0,IF('基本数据输入&amp;测算结果'!$C$20*CY310&gt;CZ310,CZ310/'基本数据输入&amp;测算结果'!$C$20*CY310,CY310)))</f>
        <v>0</v>
      </c>
      <c r="DB310" s="49">
        <f t="shared" si="13"/>
        <v>0</v>
      </c>
      <c r="DC310" s="50"/>
      <c r="DD310" s="50"/>
    </row>
    <row r="311" customHeight="1" spans="1:108">
      <c r="A311" s="52" t="s">
        <v>353</v>
      </c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1"/>
      <c r="AI311" s="51"/>
      <c r="AJ311" s="51"/>
      <c r="AK311" s="51"/>
      <c r="AL311" s="51"/>
      <c r="AM311" s="51"/>
      <c r="AN311" s="51"/>
      <c r="AO311" s="51"/>
      <c r="AP311" s="51"/>
      <c r="AQ311" s="51"/>
      <c r="AR311" s="51"/>
      <c r="AS311" s="51"/>
      <c r="AT311" s="51"/>
      <c r="AU311" s="51"/>
      <c r="AV311" s="51"/>
      <c r="AW311" s="51"/>
      <c r="AX311" s="51"/>
      <c r="AY311" s="51"/>
      <c r="AZ311" s="51"/>
      <c r="BA311" s="51"/>
      <c r="BB311" s="51"/>
      <c r="BC311" s="51"/>
      <c r="BD311" s="51"/>
      <c r="BE311" s="51"/>
      <c r="BF311" s="51"/>
      <c r="BG311" s="51"/>
      <c r="BH311" s="51"/>
      <c r="BI311" s="51"/>
      <c r="BJ311" s="51"/>
      <c r="BK311" s="51"/>
      <c r="BL311" s="51"/>
      <c r="BM311" s="51"/>
      <c r="BN311" s="51"/>
      <c r="BO311" s="51"/>
      <c r="BP311" s="51"/>
      <c r="BQ311" s="51"/>
      <c r="BR311" s="51"/>
      <c r="BS311" s="51"/>
      <c r="BT311" s="51"/>
      <c r="BU311" s="51"/>
      <c r="BV311" s="51"/>
      <c r="BW311" s="51"/>
      <c r="BX311" s="51"/>
      <c r="BY311" s="51"/>
      <c r="BZ311" s="51"/>
      <c r="CA311" s="51"/>
      <c r="CB311" s="51"/>
      <c r="CC311" s="51"/>
      <c r="CD311" s="51"/>
      <c r="CE311" s="51"/>
      <c r="CF311" s="51"/>
      <c r="CG311" s="51"/>
      <c r="CH311" s="51"/>
      <c r="CI311" s="51"/>
      <c r="CJ311" s="51"/>
      <c r="CK311" s="51"/>
      <c r="CL311" s="51"/>
      <c r="CM311" s="51"/>
      <c r="CN311" s="51"/>
      <c r="CO311" s="51"/>
      <c r="CP311" s="51"/>
      <c r="CQ311" s="51"/>
      <c r="CR311" s="51"/>
      <c r="CS311" s="51"/>
      <c r="CT311" s="42" t="str">
        <f>IFERROR(('基本数据输入&amp;测算结果'!$C$19*7-AVERAGE(B311:Y311,CP311:CS311)*7-'基本数据输入&amp;测算结果'!$C$23*7)/'基本数据输入&amp;测算结果'!$C$21*'基本数据输入&amp;测算结果'!$C$22,"无数据/数据缺失")</f>
        <v>无数据/数据缺失</v>
      </c>
      <c r="CU311" s="42">
        <f>IF(CT311&lt;0,0,IF(CT311="无数据/数据缺失",0%,IF(CT311&gt;'基本数据输入&amp;测算结果'!$C$20,100%,CT311/'基本数据输入&amp;测算结果'!$C$20)))</f>
        <v>0</v>
      </c>
      <c r="CV311" s="42" t="str">
        <f>IFERROR((AVERAGE(Z311:AG311)*2-'基本数据输入&amp;测算结果'!$C$24*2)/'基本数据输入&amp;测算结果'!$C$21/'基本数据输入&amp;测算结果'!$C$22,"无数据/数据缺失")</f>
        <v>无数据/数据缺失</v>
      </c>
      <c r="CW311" s="42">
        <f>IF(CV311&lt;0,0,IF(CV311="无数据/数据缺失",0%,IF(CV311&gt;'基本数据输入&amp;测算结果'!$C$20*CU311,CU311,CV311/'基本数据输入&amp;测算结果'!$C$20*CU311)))</f>
        <v>0</v>
      </c>
      <c r="CX311" s="42" t="str">
        <f>IFERROR(('基本数据输入&amp;测算结果'!$C$19*3-AVERAGE(AT311:BE311)*3-'基本数据输入&amp;测算结果'!$C$23*3)/'基本数据输入&amp;测算结果'!$C$21*'基本数据输入&amp;测算结果'!$C$22,"无数据/数据缺失")</f>
        <v>无数据/数据缺失</v>
      </c>
      <c r="CY311" s="42">
        <f>IF(CX311&lt;0,0,IF(CX311="无数据/数据缺失",0%,IF(CX311&gt;'基本数据输入&amp;测算结果'!$C$20,100%,CX311/'基本数据输入&amp;测算结果'!$C$20)))</f>
        <v>0</v>
      </c>
      <c r="CZ311" s="42" t="str">
        <f>IFERROR((AVERAGE(BN311:CK311)*6-'基本数据输入&amp;测算结果'!$C$24*6)/'基本数据输入&amp;测算结果'!$C$21/'基本数据输入&amp;测算结果'!$C$22,"无数据/数据缺失")</f>
        <v>无数据/数据缺失</v>
      </c>
      <c r="DA311" s="42">
        <f>IF(CZ311&lt;0,0,IF(CZ311="无数据/数据缺失",0,IF('基本数据输入&amp;测算结果'!$C$20*CY311&gt;CZ311,CZ311/'基本数据输入&amp;测算结果'!$C$20*CY311,CY311)))</f>
        <v>0</v>
      </c>
      <c r="DB311" s="49">
        <f t="shared" si="13"/>
        <v>0</v>
      </c>
      <c r="DC311" s="50"/>
      <c r="DD311" s="50"/>
    </row>
    <row r="312" customHeight="1" spans="1:108">
      <c r="A312" s="52" t="s">
        <v>354</v>
      </c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  <c r="AG312" s="51"/>
      <c r="AH312" s="51"/>
      <c r="AI312" s="51"/>
      <c r="AJ312" s="51"/>
      <c r="AK312" s="51"/>
      <c r="AL312" s="51"/>
      <c r="AM312" s="51"/>
      <c r="AN312" s="51"/>
      <c r="AO312" s="51"/>
      <c r="AP312" s="51"/>
      <c r="AQ312" s="51"/>
      <c r="AR312" s="51"/>
      <c r="AS312" s="51"/>
      <c r="AT312" s="51"/>
      <c r="AU312" s="51"/>
      <c r="AV312" s="51"/>
      <c r="AW312" s="51"/>
      <c r="AX312" s="51"/>
      <c r="AY312" s="51"/>
      <c r="AZ312" s="51"/>
      <c r="BA312" s="51"/>
      <c r="BB312" s="51"/>
      <c r="BC312" s="51"/>
      <c r="BD312" s="51"/>
      <c r="BE312" s="51"/>
      <c r="BF312" s="51"/>
      <c r="BG312" s="51"/>
      <c r="BH312" s="51"/>
      <c r="BI312" s="51"/>
      <c r="BJ312" s="51"/>
      <c r="BK312" s="51"/>
      <c r="BL312" s="51"/>
      <c r="BM312" s="51"/>
      <c r="BN312" s="51"/>
      <c r="BO312" s="51"/>
      <c r="BP312" s="51"/>
      <c r="BQ312" s="51"/>
      <c r="BR312" s="51"/>
      <c r="BS312" s="51"/>
      <c r="BT312" s="51"/>
      <c r="BU312" s="51"/>
      <c r="BV312" s="51"/>
      <c r="BW312" s="51"/>
      <c r="BX312" s="51"/>
      <c r="BY312" s="51"/>
      <c r="BZ312" s="51"/>
      <c r="CA312" s="51"/>
      <c r="CB312" s="51"/>
      <c r="CC312" s="51"/>
      <c r="CD312" s="51"/>
      <c r="CE312" s="51"/>
      <c r="CF312" s="51"/>
      <c r="CG312" s="51"/>
      <c r="CH312" s="51"/>
      <c r="CI312" s="51"/>
      <c r="CJ312" s="51"/>
      <c r="CK312" s="51"/>
      <c r="CL312" s="51"/>
      <c r="CM312" s="51"/>
      <c r="CN312" s="51"/>
      <c r="CO312" s="51"/>
      <c r="CP312" s="51"/>
      <c r="CQ312" s="51"/>
      <c r="CR312" s="51"/>
      <c r="CS312" s="51"/>
      <c r="CT312" s="42" t="str">
        <f>IFERROR(('基本数据输入&amp;测算结果'!$C$19*7-AVERAGE(B312:Y312,CP312:CS312)*7-'基本数据输入&amp;测算结果'!$C$23*7)/'基本数据输入&amp;测算结果'!$C$21*'基本数据输入&amp;测算结果'!$C$22,"无数据/数据缺失")</f>
        <v>无数据/数据缺失</v>
      </c>
      <c r="CU312" s="42">
        <f>IF(CT312&lt;0,0,IF(CT312="无数据/数据缺失",0%,IF(CT312&gt;'基本数据输入&amp;测算结果'!$C$20,100%,CT312/'基本数据输入&amp;测算结果'!$C$20)))</f>
        <v>0</v>
      </c>
      <c r="CV312" s="42" t="str">
        <f>IFERROR((AVERAGE(Z312:AG312)*2-'基本数据输入&amp;测算结果'!$C$24*2)/'基本数据输入&amp;测算结果'!$C$21/'基本数据输入&amp;测算结果'!$C$22,"无数据/数据缺失")</f>
        <v>无数据/数据缺失</v>
      </c>
      <c r="CW312" s="42">
        <f>IF(CV312&lt;0,0,IF(CV312="无数据/数据缺失",0%,IF(CV312&gt;'基本数据输入&amp;测算结果'!$C$20*CU312,CU312,CV312/'基本数据输入&amp;测算结果'!$C$20*CU312)))</f>
        <v>0</v>
      </c>
      <c r="CX312" s="42" t="str">
        <f>IFERROR(('基本数据输入&amp;测算结果'!$C$19*3-AVERAGE(AT312:BE312)*3-'基本数据输入&amp;测算结果'!$C$23*3)/'基本数据输入&amp;测算结果'!$C$21*'基本数据输入&amp;测算结果'!$C$22,"无数据/数据缺失")</f>
        <v>无数据/数据缺失</v>
      </c>
      <c r="CY312" s="42">
        <f>IF(CX312&lt;0,0,IF(CX312="无数据/数据缺失",0%,IF(CX312&gt;'基本数据输入&amp;测算结果'!$C$20,100%,CX312/'基本数据输入&amp;测算结果'!$C$20)))</f>
        <v>0</v>
      </c>
      <c r="CZ312" s="42" t="str">
        <f>IFERROR((AVERAGE(BN312:CK312)*6-'基本数据输入&amp;测算结果'!$C$24*6)/'基本数据输入&amp;测算结果'!$C$21/'基本数据输入&amp;测算结果'!$C$22,"无数据/数据缺失")</f>
        <v>无数据/数据缺失</v>
      </c>
      <c r="DA312" s="42">
        <f>IF(CZ312&lt;0,0,IF(CZ312="无数据/数据缺失",0,IF('基本数据输入&amp;测算结果'!$C$20*CY312&gt;CZ312,CZ312/'基本数据输入&amp;测算结果'!$C$20*CY312,CY312)))</f>
        <v>0</v>
      </c>
      <c r="DB312" s="49">
        <f t="shared" si="13"/>
        <v>0</v>
      </c>
      <c r="DC312" s="50"/>
      <c r="DD312" s="50"/>
    </row>
    <row r="313" customHeight="1" spans="1:108">
      <c r="A313" s="52" t="s">
        <v>355</v>
      </c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  <c r="AI313" s="51"/>
      <c r="AJ313" s="51"/>
      <c r="AK313" s="51"/>
      <c r="AL313" s="51"/>
      <c r="AM313" s="51"/>
      <c r="AN313" s="51"/>
      <c r="AO313" s="51"/>
      <c r="AP313" s="51"/>
      <c r="AQ313" s="51"/>
      <c r="AR313" s="51"/>
      <c r="AS313" s="51"/>
      <c r="AT313" s="51"/>
      <c r="AU313" s="51"/>
      <c r="AV313" s="51"/>
      <c r="AW313" s="51"/>
      <c r="AX313" s="51"/>
      <c r="AY313" s="51"/>
      <c r="AZ313" s="51"/>
      <c r="BA313" s="51"/>
      <c r="BB313" s="51"/>
      <c r="BC313" s="51"/>
      <c r="BD313" s="51"/>
      <c r="BE313" s="51"/>
      <c r="BF313" s="51"/>
      <c r="BG313" s="51"/>
      <c r="BH313" s="51"/>
      <c r="BI313" s="51"/>
      <c r="BJ313" s="51"/>
      <c r="BK313" s="51"/>
      <c r="BL313" s="51"/>
      <c r="BM313" s="51"/>
      <c r="BN313" s="51"/>
      <c r="BO313" s="51"/>
      <c r="BP313" s="51"/>
      <c r="BQ313" s="51"/>
      <c r="BR313" s="51"/>
      <c r="BS313" s="51"/>
      <c r="BT313" s="51"/>
      <c r="BU313" s="51"/>
      <c r="BV313" s="51"/>
      <c r="BW313" s="51"/>
      <c r="BX313" s="51"/>
      <c r="BY313" s="51"/>
      <c r="BZ313" s="51"/>
      <c r="CA313" s="51"/>
      <c r="CB313" s="51"/>
      <c r="CC313" s="51"/>
      <c r="CD313" s="51"/>
      <c r="CE313" s="51"/>
      <c r="CF313" s="51"/>
      <c r="CG313" s="51"/>
      <c r="CH313" s="51"/>
      <c r="CI313" s="51"/>
      <c r="CJ313" s="51"/>
      <c r="CK313" s="51"/>
      <c r="CL313" s="51"/>
      <c r="CM313" s="51"/>
      <c r="CN313" s="51"/>
      <c r="CO313" s="51"/>
      <c r="CP313" s="51"/>
      <c r="CQ313" s="51"/>
      <c r="CR313" s="51"/>
      <c r="CS313" s="51"/>
      <c r="CT313" s="42" t="str">
        <f>IFERROR(('基本数据输入&amp;测算结果'!$C$19*7-AVERAGE(B313:Y313,CP313:CS313)*7-'基本数据输入&amp;测算结果'!$C$23*7)/'基本数据输入&amp;测算结果'!$C$21*'基本数据输入&amp;测算结果'!$C$22,"无数据/数据缺失")</f>
        <v>无数据/数据缺失</v>
      </c>
      <c r="CU313" s="42">
        <f>IF(CT313&lt;0,0,IF(CT313="无数据/数据缺失",0%,IF(CT313&gt;'基本数据输入&amp;测算结果'!$C$20,100%,CT313/'基本数据输入&amp;测算结果'!$C$20)))</f>
        <v>0</v>
      </c>
      <c r="CV313" s="42" t="str">
        <f>IFERROR((AVERAGE(Z313:AG313)*2-'基本数据输入&amp;测算结果'!$C$24*2)/'基本数据输入&amp;测算结果'!$C$21/'基本数据输入&amp;测算结果'!$C$22,"无数据/数据缺失")</f>
        <v>无数据/数据缺失</v>
      </c>
      <c r="CW313" s="42">
        <f>IF(CV313&lt;0,0,IF(CV313="无数据/数据缺失",0%,IF(CV313&gt;'基本数据输入&amp;测算结果'!$C$20*CU313,CU313,CV313/'基本数据输入&amp;测算结果'!$C$20*CU313)))</f>
        <v>0</v>
      </c>
      <c r="CX313" s="42" t="str">
        <f>IFERROR(('基本数据输入&amp;测算结果'!$C$19*3-AVERAGE(AT313:BE313)*3-'基本数据输入&amp;测算结果'!$C$23*3)/'基本数据输入&amp;测算结果'!$C$21*'基本数据输入&amp;测算结果'!$C$22,"无数据/数据缺失")</f>
        <v>无数据/数据缺失</v>
      </c>
      <c r="CY313" s="42">
        <f>IF(CX313&lt;0,0,IF(CX313="无数据/数据缺失",0%,IF(CX313&gt;'基本数据输入&amp;测算结果'!$C$20,100%,CX313/'基本数据输入&amp;测算结果'!$C$20)))</f>
        <v>0</v>
      </c>
      <c r="CZ313" s="42" t="str">
        <f>IFERROR((AVERAGE(BN313:CK313)*6-'基本数据输入&amp;测算结果'!$C$24*6)/'基本数据输入&amp;测算结果'!$C$21/'基本数据输入&amp;测算结果'!$C$22,"无数据/数据缺失")</f>
        <v>无数据/数据缺失</v>
      </c>
      <c r="DA313" s="42">
        <f>IF(CZ313&lt;0,0,IF(CZ313="无数据/数据缺失",0,IF('基本数据输入&amp;测算结果'!$C$20*CY313&gt;CZ313,CZ313/'基本数据输入&amp;测算结果'!$C$20*CY313,CY313)))</f>
        <v>0</v>
      </c>
      <c r="DB313" s="49">
        <f t="shared" si="13"/>
        <v>0</v>
      </c>
      <c r="DC313" s="50"/>
      <c r="DD313" s="50"/>
    </row>
    <row r="314" customHeight="1" spans="1:108">
      <c r="A314" s="52" t="s">
        <v>356</v>
      </c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  <c r="AH314" s="51"/>
      <c r="AI314" s="51"/>
      <c r="AJ314" s="51"/>
      <c r="AK314" s="51"/>
      <c r="AL314" s="51"/>
      <c r="AM314" s="51"/>
      <c r="AN314" s="51"/>
      <c r="AO314" s="51"/>
      <c r="AP314" s="51"/>
      <c r="AQ314" s="51"/>
      <c r="AR314" s="51"/>
      <c r="AS314" s="51"/>
      <c r="AT314" s="51"/>
      <c r="AU314" s="51"/>
      <c r="AV314" s="51"/>
      <c r="AW314" s="51"/>
      <c r="AX314" s="51"/>
      <c r="AY314" s="51"/>
      <c r="AZ314" s="51"/>
      <c r="BA314" s="51"/>
      <c r="BB314" s="51"/>
      <c r="BC314" s="51"/>
      <c r="BD314" s="51"/>
      <c r="BE314" s="51"/>
      <c r="BF314" s="51"/>
      <c r="BG314" s="51"/>
      <c r="BH314" s="51"/>
      <c r="BI314" s="51"/>
      <c r="BJ314" s="51"/>
      <c r="BK314" s="51"/>
      <c r="BL314" s="51"/>
      <c r="BM314" s="51"/>
      <c r="BN314" s="51"/>
      <c r="BO314" s="51"/>
      <c r="BP314" s="51"/>
      <c r="BQ314" s="51"/>
      <c r="BR314" s="51"/>
      <c r="BS314" s="51"/>
      <c r="BT314" s="51"/>
      <c r="BU314" s="51"/>
      <c r="BV314" s="51"/>
      <c r="BW314" s="51"/>
      <c r="BX314" s="51"/>
      <c r="BY314" s="51"/>
      <c r="BZ314" s="51"/>
      <c r="CA314" s="51"/>
      <c r="CB314" s="51"/>
      <c r="CC314" s="51"/>
      <c r="CD314" s="51"/>
      <c r="CE314" s="51"/>
      <c r="CF314" s="51"/>
      <c r="CG314" s="51"/>
      <c r="CH314" s="51"/>
      <c r="CI314" s="51"/>
      <c r="CJ314" s="51"/>
      <c r="CK314" s="51"/>
      <c r="CL314" s="51"/>
      <c r="CM314" s="51"/>
      <c r="CN314" s="51"/>
      <c r="CO314" s="51"/>
      <c r="CP314" s="51"/>
      <c r="CQ314" s="51"/>
      <c r="CR314" s="51"/>
      <c r="CS314" s="51"/>
      <c r="CT314" s="42" t="str">
        <f>IFERROR(('基本数据输入&amp;测算结果'!$C$19*7-AVERAGE(B314:Y314,CP314:CS314)*7-'基本数据输入&amp;测算结果'!$C$23*7)/'基本数据输入&amp;测算结果'!$C$21*'基本数据输入&amp;测算结果'!$C$22,"无数据/数据缺失")</f>
        <v>无数据/数据缺失</v>
      </c>
      <c r="CU314" s="42">
        <f>IF(CT314&lt;0,0,IF(CT314="无数据/数据缺失",0%,IF(CT314&gt;'基本数据输入&amp;测算结果'!$C$20,100%,CT314/'基本数据输入&amp;测算结果'!$C$20)))</f>
        <v>0</v>
      </c>
      <c r="CV314" s="42" t="str">
        <f>IFERROR((AVERAGE(Z314:AG314)*2-'基本数据输入&amp;测算结果'!$C$24*2)/'基本数据输入&amp;测算结果'!$C$21/'基本数据输入&amp;测算结果'!$C$22,"无数据/数据缺失")</f>
        <v>无数据/数据缺失</v>
      </c>
      <c r="CW314" s="42">
        <f>IF(CV314&lt;0,0,IF(CV314="无数据/数据缺失",0%,IF(CV314&gt;'基本数据输入&amp;测算结果'!$C$20*CU314,CU314,CV314/'基本数据输入&amp;测算结果'!$C$20*CU314)))</f>
        <v>0</v>
      </c>
      <c r="CX314" s="42" t="str">
        <f>IFERROR(('基本数据输入&amp;测算结果'!$C$19*3-AVERAGE(AT314:BE314)*3-'基本数据输入&amp;测算结果'!$C$23*3)/'基本数据输入&amp;测算结果'!$C$21*'基本数据输入&amp;测算结果'!$C$22,"无数据/数据缺失")</f>
        <v>无数据/数据缺失</v>
      </c>
      <c r="CY314" s="42">
        <f>IF(CX314&lt;0,0,IF(CX314="无数据/数据缺失",0%,IF(CX314&gt;'基本数据输入&amp;测算结果'!$C$20,100%,CX314/'基本数据输入&amp;测算结果'!$C$20)))</f>
        <v>0</v>
      </c>
      <c r="CZ314" s="42" t="str">
        <f>IFERROR((AVERAGE(BN314:CK314)*6-'基本数据输入&amp;测算结果'!$C$24*6)/'基本数据输入&amp;测算结果'!$C$21/'基本数据输入&amp;测算结果'!$C$22,"无数据/数据缺失")</f>
        <v>无数据/数据缺失</v>
      </c>
      <c r="DA314" s="42">
        <f>IF(CZ314&lt;0,0,IF(CZ314="无数据/数据缺失",0,IF('基本数据输入&amp;测算结果'!$C$20*CY314&gt;CZ314,CZ314/'基本数据输入&amp;测算结果'!$C$20*CY314,CY314)))</f>
        <v>0</v>
      </c>
      <c r="DB314" s="49">
        <f t="shared" si="13"/>
        <v>0</v>
      </c>
      <c r="DC314" s="50"/>
      <c r="DD314" s="50"/>
    </row>
    <row r="315" customHeight="1" spans="1:108">
      <c r="A315" s="52" t="s">
        <v>357</v>
      </c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  <c r="AH315" s="51"/>
      <c r="AI315" s="51"/>
      <c r="AJ315" s="51"/>
      <c r="AK315" s="51"/>
      <c r="AL315" s="51"/>
      <c r="AM315" s="51"/>
      <c r="AN315" s="51"/>
      <c r="AO315" s="51"/>
      <c r="AP315" s="51"/>
      <c r="AQ315" s="51"/>
      <c r="AR315" s="51"/>
      <c r="AS315" s="51"/>
      <c r="AT315" s="51"/>
      <c r="AU315" s="51"/>
      <c r="AV315" s="51"/>
      <c r="AW315" s="51"/>
      <c r="AX315" s="51"/>
      <c r="AY315" s="51"/>
      <c r="AZ315" s="51"/>
      <c r="BA315" s="51"/>
      <c r="BB315" s="51"/>
      <c r="BC315" s="51"/>
      <c r="BD315" s="51"/>
      <c r="BE315" s="51"/>
      <c r="BF315" s="51"/>
      <c r="BG315" s="51"/>
      <c r="BH315" s="51"/>
      <c r="BI315" s="51"/>
      <c r="BJ315" s="51"/>
      <c r="BK315" s="51"/>
      <c r="BL315" s="51"/>
      <c r="BM315" s="51"/>
      <c r="BN315" s="51"/>
      <c r="BO315" s="51"/>
      <c r="BP315" s="51"/>
      <c r="BQ315" s="51"/>
      <c r="BR315" s="51"/>
      <c r="BS315" s="51"/>
      <c r="BT315" s="51"/>
      <c r="BU315" s="51"/>
      <c r="BV315" s="51"/>
      <c r="BW315" s="51"/>
      <c r="BX315" s="51"/>
      <c r="BY315" s="51"/>
      <c r="BZ315" s="51"/>
      <c r="CA315" s="51"/>
      <c r="CB315" s="51"/>
      <c r="CC315" s="51"/>
      <c r="CD315" s="51"/>
      <c r="CE315" s="51"/>
      <c r="CF315" s="51"/>
      <c r="CG315" s="51"/>
      <c r="CH315" s="51"/>
      <c r="CI315" s="51"/>
      <c r="CJ315" s="51"/>
      <c r="CK315" s="51"/>
      <c r="CL315" s="51"/>
      <c r="CM315" s="51"/>
      <c r="CN315" s="51"/>
      <c r="CO315" s="51"/>
      <c r="CP315" s="51"/>
      <c r="CQ315" s="51"/>
      <c r="CR315" s="51"/>
      <c r="CS315" s="51"/>
      <c r="CT315" s="42" t="str">
        <f>IFERROR(('基本数据输入&amp;测算结果'!$C$19*7-AVERAGE(B315:Y315,CP315:CS315)*7-'基本数据输入&amp;测算结果'!$C$23*7)/'基本数据输入&amp;测算结果'!$C$21*'基本数据输入&amp;测算结果'!$C$22,"无数据/数据缺失")</f>
        <v>无数据/数据缺失</v>
      </c>
      <c r="CU315" s="42">
        <f>IF(CT315&lt;0,0,IF(CT315="无数据/数据缺失",0%,IF(CT315&gt;'基本数据输入&amp;测算结果'!$C$20,100%,CT315/'基本数据输入&amp;测算结果'!$C$20)))</f>
        <v>0</v>
      </c>
      <c r="CV315" s="42" t="str">
        <f>IFERROR((AVERAGE(Z315:AG315)*2-'基本数据输入&amp;测算结果'!$C$24*2)/'基本数据输入&amp;测算结果'!$C$21/'基本数据输入&amp;测算结果'!$C$22,"无数据/数据缺失")</f>
        <v>无数据/数据缺失</v>
      </c>
      <c r="CW315" s="42">
        <f>IF(CV315&lt;0,0,IF(CV315="无数据/数据缺失",0%,IF(CV315&gt;'基本数据输入&amp;测算结果'!$C$20*CU315,CU315,CV315/'基本数据输入&amp;测算结果'!$C$20*CU315)))</f>
        <v>0</v>
      </c>
      <c r="CX315" s="42" t="str">
        <f>IFERROR(('基本数据输入&amp;测算结果'!$C$19*3-AVERAGE(AT315:BE315)*3-'基本数据输入&amp;测算结果'!$C$23*3)/'基本数据输入&amp;测算结果'!$C$21*'基本数据输入&amp;测算结果'!$C$22,"无数据/数据缺失")</f>
        <v>无数据/数据缺失</v>
      </c>
      <c r="CY315" s="42">
        <f>IF(CX315&lt;0,0,IF(CX315="无数据/数据缺失",0%,IF(CX315&gt;'基本数据输入&amp;测算结果'!$C$20,100%,CX315/'基本数据输入&amp;测算结果'!$C$20)))</f>
        <v>0</v>
      </c>
      <c r="CZ315" s="42" t="str">
        <f>IFERROR((AVERAGE(BN315:CK315)*6-'基本数据输入&amp;测算结果'!$C$24*6)/'基本数据输入&amp;测算结果'!$C$21/'基本数据输入&amp;测算结果'!$C$22,"无数据/数据缺失")</f>
        <v>无数据/数据缺失</v>
      </c>
      <c r="DA315" s="42">
        <f>IF(CZ315&lt;0,0,IF(CZ315="无数据/数据缺失",0,IF('基本数据输入&amp;测算结果'!$C$20*CY315&gt;CZ315,CZ315/'基本数据输入&amp;测算结果'!$C$20*CY315,CY315)))</f>
        <v>0</v>
      </c>
      <c r="DB315" s="49">
        <f t="shared" si="13"/>
        <v>0</v>
      </c>
      <c r="DC315" s="50"/>
      <c r="DD315" s="50"/>
    </row>
    <row r="316" customHeight="1" spans="1:108">
      <c r="A316" s="52" t="s">
        <v>358</v>
      </c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  <c r="AH316" s="51"/>
      <c r="AI316" s="51"/>
      <c r="AJ316" s="51"/>
      <c r="AK316" s="51"/>
      <c r="AL316" s="51"/>
      <c r="AM316" s="51"/>
      <c r="AN316" s="51"/>
      <c r="AO316" s="51"/>
      <c r="AP316" s="51"/>
      <c r="AQ316" s="51"/>
      <c r="AR316" s="51"/>
      <c r="AS316" s="51"/>
      <c r="AT316" s="51"/>
      <c r="AU316" s="51"/>
      <c r="AV316" s="51"/>
      <c r="AW316" s="51"/>
      <c r="AX316" s="51"/>
      <c r="AY316" s="51"/>
      <c r="AZ316" s="51"/>
      <c r="BA316" s="51"/>
      <c r="BB316" s="51"/>
      <c r="BC316" s="51"/>
      <c r="BD316" s="51"/>
      <c r="BE316" s="51"/>
      <c r="BF316" s="51"/>
      <c r="BG316" s="51"/>
      <c r="BH316" s="51"/>
      <c r="BI316" s="51"/>
      <c r="BJ316" s="51"/>
      <c r="BK316" s="51"/>
      <c r="BL316" s="51"/>
      <c r="BM316" s="51"/>
      <c r="BN316" s="51"/>
      <c r="BO316" s="51"/>
      <c r="BP316" s="51"/>
      <c r="BQ316" s="51"/>
      <c r="BR316" s="51"/>
      <c r="BS316" s="51"/>
      <c r="BT316" s="51"/>
      <c r="BU316" s="51"/>
      <c r="BV316" s="51"/>
      <c r="BW316" s="51"/>
      <c r="BX316" s="51"/>
      <c r="BY316" s="51"/>
      <c r="BZ316" s="51"/>
      <c r="CA316" s="51"/>
      <c r="CB316" s="51"/>
      <c r="CC316" s="51"/>
      <c r="CD316" s="51"/>
      <c r="CE316" s="51"/>
      <c r="CF316" s="51"/>
      <c r="CG316" s="51"/>
      <c r="CH316" s="51"/>
      <c r="CI316" s="51"/>
      <c r="CJ316" s="51"/>
      <c r="CK316" s="51"/>
      <c r="CL316" s="51"/>
      <c r="CM316" s="51"/>
      <c r="CN316" s="51"/>
      <c r="CO316" s="51"/>
      <c r="CP316" s="51"/>
      <c r="CQ316" s="51"/>
      <c r="CR316" s="51"/>
      <c r="CS316" s="51"/>
      <c r="CT316" s="42" t="str">
        <f>IFERROR(('基本数据输入&amp;测算结果'!$C$19*7-AVERAGE(B316:Y316,CP316:CS316)*7-'基本数据输入&amp;测算结果'!$C$23*7)/'基本数据输入&amp;测算结果'!$C$21*'基本数据输入&amp;测算结果'!$C$22,"无数据/数据缺失")</f>
        <v>无数据/数据缺失</v>
      </c>
      <c r="CU316" s="42">
        <f>IF(CT316&lt;0,0,IF(CT316="无数据/数据缺失",0%,IF(CT316&gt;'基本数据输入&amp;测算结果'!$C$20,100%,CT316/'基本数据输入&amp;测算结果'!$C$20)))</f>
        <v>0</v>
      </c>
      <c r="CV316" s="42" t="str">
        <f>IFERROR((AVERAGE(Z316:AG316)*2-'基本数据输入&amp;测算结果'!$C$24*2)/'基本数据输入&amp;测算结果'!$C$21/'基本数据输入&amp;测算结果'!$C$22,"无数据/数据缺失")</f>
        <v>无数据/数据缺失</v>
      </c>
      <c r="CW316" s="42">
        <f>IF(CV316&lt;0,0,IF(CV316="无数据/数据缺失",0%,IF(CV316&gt;'基本数据输入&amp;测算结果'!$C$20*CU316,CU316,CV316/'基本数据输入&amp;测算结果'!$C$20*CU316)))</f>
        <v>0</v>
      </c>
      <c r="CX316" s="42" t="str">
        <f>IFERROR(('基本数据输入&amp;测算结果'!$C$19*3-AVERAGE(AT316:BE316)*3-'基本数据输入&amp;测算结果'!$C$23*3)/'基本数据输入&amp;测算结果'!$C$21*'基本数据输入&amp;测算结果'!$C$22,"无数据/数据缺失")</f>
        <v>无数据/数据缺失</v>
      </c>
      <c r="CY316" s="42">
        <f>IF(CX316&lt;0,0,IF(CX316="无数据/数据缺失",0%,IF(CX316&gt;'基本数据输入&amp;测算结果'!$C$20,100%,CX316/'基本数据输入&amp;测算结果'!$C$20)))</f>
        <v>0</v>
      </c>
      <c r="CZ316" s="42" t="str">
        <f>IFERROR((AVERAGE(BN316:CK316)*6-'基本数据输入&amp;测算结果'!$C$24*6)/'基本数据输入&amp;测算结果'!$C$21/'基本数据输入&amp;测算结果'!$C$22,"无数据/数据缺失")</f>
        <v>无数据/数据缺失</v>
      </c>
      <c r="DA316" s="42">
        <f>IF(CZ316&lt;0,0,IF(CZ316="无数据/数据缺失",0,IF('基本数据输入&amp;测算结果'!$C$20*CY316&gt;CZ316,CZ316/'基本数据输入&amp;测算结果'!$C$20*CY316,CY316)))</f>
        <v>0</v>
      </c>
      <c r="DB316" s="49">
        <f t="shared" si="13"/>
        <v>0</v>
      </c>
      <c r="DC316" s="50"/>
      <c r="DD316" s="50"/>
    </row>
    <row r="317" customHeight="1" spans="1:108">
      <c r="A317" s="52" t="s">
        <v>359</v>
      </c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  <c r="AH317" s="51"/>
      <c r="AI317" s="51"/>
      <c r="AJ317" s="51"/>
      <c r="AK317" s="51"/>
      <c r="AL317" s="51"/>
      <c r="AM317" s="51"/>
      <c r="AN317" s="51"/>
      <c r="AO317" s="51"/>
      <c r="AP317" s="51"/>
      <c r="AQ317" s="51"/>
      <c r="AR317" s="51"/>
      <c r="AS317" s="51"/>
      <c r="AT317" s="51"/>
      <c r="AU317" s="51"/>
      <c r="AV317" s="51"/>
      <c r="AW317" s="51"/>
      <c r="AX317" s="51"/>
      <c r="AY317" s="51"/>
      <c r="AZ317" s="51"/>
      <c r="BA317" s="51"/>
      <c r="BB317" s="51"/>
      <c r="BC317" s="51"/>
      <c r="BD317" s="51"/>
      <c r="BE317" s="51"/>
      <c r="BF317" s="51"/>
      <c r="BG317" s="51"/>
      <c r="BH317" s="51"/>
      <c r="BI317" s="51"/>
      <c r="BJ317" s="51"/>
      <c r="BK317" s="51"/>
      <c r="BL317" s="51"/>
      <c r="BM317" s="51"/>
      <c r="BN317" s="51"/>
      <c r="BO317" s="51"/>
      <c r="BP317" s="51"/>
      <c r="BQ317" s="51"/>
      <c r="BR317" s="51"/>
      <c r="BS317" s="51"/>
      <c r="BT317" s="51"/>
      <c r="BU317" s="51"/>
      <c r="BV317" s="51"/>
      <c r="BW317" s="51"/>
      <c r="BX317" s="51"/>
      <c r="BY317" s="51"/>
      <c r="BZ317" s="51"/>
      <c r="CA317" s="51"/>
      <c r="CB317" s="51"/>
      <c r="CC317" s="51"/>
      <c r="CD317" s="51"/>
      <c r="CE317" s="51"/>
      <c r="CF317" s="51"/>
      <c r="CG317" s="51"/>
      <c r="CH317" s="51"/>
      <c r="CI317" s="51"/>
      <c r="CJ317" s="51"/>
      <c r="CK317" s="51"/>
      <c r="CL317" s="51"/>
      <c r="CM317" s="51"/>
      <c r="CN317" s="51"/>
      <c r="CO317" s="51"/>
      <c r="CP317" s="51"/>
      <c r="CQ317" s="51"/>
      <c r="CR317" s="51"/>
      <c r="CS317" s="51"/>
      <c r="CT317" s="42" t="str">
        <f>IFERROR(('基本数据输入&amp;测算结果'!$C$19*7-AVERAGE(B317:Y317,CP317:CS317)*7-'基本数据输入&amp;测算结果'!$C$23*7)/'基本数据输入&amp;测算结果'!$C$21*'基本数据输入&amp;测算结果'!$C$22,"无数据/数据缺失")</f>
        <v>无数据/数据缺失</v>
      </c>
      <c r="CU317" s="42">
        <f>IF(CT317&lt;0,0,IF(CT317="无数据/数据缺失",0%,IF(CT317&gt;'基本数据输入&amp;测算结果'!$C$20,100%,CT317/'基本数据输入&amp;测算结果'!$C$20)))</f>
        <v>0</v>
      </c>
      <c r="CV317" s="42" t="str">
        <f>IFERROR((AVERAGE(Z317:AG317)*2-'基本数据输入&amp;测算结果'!$C$24*2)/'基本数据输入&amp;测算结果'!$C$21/'基本数据输入&amp;测算结果'!$C$22,"无数据/数据缺失")</f>
        <v>无数据/数据缺失</v>
      </c>
      <c r="CW317" s="42">
        <f>IF(CV317&lt;0,0,IF(CV317="无数据/数据缺失",0%,IF(CV317&gt;'基本数据输入&amp;测算结果'!$C$20*CU317,CU317,CV317/'基本数据输入&amp;测算结果'!$C$20*CU317)))</f>
        <v>0</v>
      </c>
      <c r="CX317" s="42" t="str">
        <f>IFERROR(('基本数据输入&amp;测算结果'!$C$19*3-AVERAGE(AT317:BE317)*3-'基本数据输入&amp;测算结果'!$C$23*3)/'基本数据输入&amp;测算结果'!$C$21*'基本数据输入&amp;测算结果'!$C$22,"无数据/数据缺失")</f>
        <v>无数据/数据缺失</v>
      </c>
      <c r="CY317" s="42">
        <f>IF(CX317&lt;0,0,IF(CX317="无数据/数据缺失",0%,IF(CX317&gt;'基本数据输入&amp;测算结果'!$C$20,100%,CX317/'基本数据输入&amp;测算结果'!$C$20)))</f>
        <v>0</v>
      </c>
      <c r="CZ317" s="42" t="str">
        <f>IFERROR((AVERAGE(BN317:CK317)*6-'基本数据输入&amp;测算结果'!$C$24*6)/'基本数据输入&amp;测算结果'!$C$21/'基本数据输入&amp;测算结果'!$C$22,"无数据/数据缺失")</f>
        <v>无数据/数据缺失</v>
      </c>
      <c r="DA317" s="42">
        <f>IF(CZ317&lt;0,0,IF(CZ317="无数据/数据缺失",0,IF('基本数据输入&amp;测算结果'!$C$20*CY317&gt;CZ317,CZ317/'基本数据输入&amp;测算结果'!$C$20*CY317,CY317)))</f>
        <v>0</v>
      </c>
      <c r="DB317" s="49">
        <f t="shared" si="13"/>
        <v>0</v>
      </c>
      <c r="DC317" s="50"/>
      <c r="DD317" s="50"/>
    </row>
    <row r="318" customHeight="1" spans="1:108">
      <c r="A318" s="52" t="s">
        <v>360</v>
      </c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  <c r="AH318" s="51"/>
      <c r="AI318" s="51"/>
      <c r="AJ318" s="51"/>
      <c r="AK318" s="51"/>
      <c r="AL318" s="51"/>
      <c r="AM318" s="51"/>
      <c r="AN318" s="51"/>
      <c r="AO318" s="51"/>
      <c r="AP318" s="51"/>
      <c r="AQ318" s="51"/>
      <c r="AR318" s="51"/>
      <c r="AS318" s="51"/>
      <c r="AT318" s="51"/>
      <c r="AU318" s="51"/>
      <c r="AV318" s="51"/>
      <c r="AW318" s="51"/>
      <c r="AX318" s="51"/>
      <c r="AY318" s="51"/>
      <c r="AZ318" s="51"/>
      <c r="BA318" s="51"/>
      <c r="BB318" s="51"/>
      <c r="BC318" s="51"/>
      <c r="BD318" s="51"/>
      <c r="BE318" s="51"/>
      <c r="BF318" s="51"/>
      <c r="BG318" s="51"/>
      <c r="BH318" s="51"/>
      <c r="BI318" s="51"/>
      <c r="BJ318" s="51"/>
      <c r="BK318" s="51"/>
      <c r="BL318" s="51"/>
      <c r="BM318" s="51"/>
      <c r="BN318" s="51"/>
      <c r="BO318" s="51"/>
      <c r="BP318" s="51"/>
      <c r="BQ318" s="51"/>
      <c r="BR318" s="51"/>
      <c r="BS318" s="51"/>
      <c r="BT318" s="51"/>
      <c r="BU318" s="51"/>
      <c r="BV318" s="51"/>
      <c r="BW318" s="51"/>
      <c r="BX318" s="51"/>
      <c r="BY318" s="51"/>
      <c r="BZ318" s="51"/>
      <c r="CA318" s="51"/>
      <c r="CB318" s="51"/>
      <c r="CC318" s="51"/>
      <c r="CD318" s="51"/>
      <c r="CE318" s="51"/>
      <c r="CF318" s="51"/>
      <c r="CG318" s="51"/>
      <c r="CH318" s="51"/>
      <c r="CI318" s="51"/>
      <c r="CJ318" s="51"/>
      <c r="CK318" s="51"/>
      <c r="CL318" s="51"/>
      <c r="CM318" s="51"/>
      <c r="CN318" s="51"/>
      <c r="CO318" s="51"/>
      <c r="CP318" s="51"/>
      <c r="CQ318" s="51"/>
      <c r="CR318" s="51"/>
      <c r="CS318" s="51"/>
      <c r="CT318" s="42" t="str">
        <f>IFERROR(('基本数据输入&amp;测算结果'!$C$19*7-AVERAGE(B318:Y318,CP318:CS318)*7-'基本数据输入&amp;测算结果'!$C$23*7)/'基本数据输入&amp;测算结果'!$C$21*'基本数据输入&amp;测算结果'!$C$22,"无数据/数据缺失")</f>
        <v>无数据/数据缺失</v>
      </c>
      <c r="CU318" s="42">
        <f>IF(CT318&lt;0,0,IF(CT318="无数据/数据缺失",0%,IF(CT318&gt;'基本数据输入&amp;测算结果'!$C$20,100%,CT318/'基本数据输入&amp;测算结果'!$C$20)))</f>
        <v>0</v>
      </c>
      <c r="CV318" s="42" t="str">
        <f>IFERROR((AVERAGE(Z318:AG318)*2-'基本数据输入&amp;测算结果'!$C$24*2)/'基本数据输入&amp;测算结果'!$C$21/'基本数据输入&amp;测算结果'!$C$22,"无数据/数据缺失")</f>
        <v>无数据/数据缺失</v>
      </c>
      <c r="CW318" s="42">
        <f>IF(CV318&lt;0,0,IF(CV318="无数据/数据缺失",0%,IF(CV318&gt;'基本数据输入&amp;测算结果'!$C$20*CU318,CU318,CV318/'基本数据输入&amp;测算结果'!$C$20*CU318)))</f>
        <v>0</v>
      </c>
      <c r="CX318" s="42" t="str">
        <f>IFERROR(('基本数据输入&amp;测算结果'!$C$19*3-AVERAGE(AT318:BE318)*3-'基本数据输入&amp;测算结果'!$C$23*3)/'基本数据输入&amp;测算结果'!$C$21*'基本数据输入&amp;测算结果'!$C$22,"无数据/数据缺失")</f>
        <v>无数据/数据缺失</v>
      </c>
      <c r="CY318" s="42">
        <f>IF(CX318&lt;0,0,IF(CX318="无数据/数据缺失",0%,IF(CX318&gt;'基本数据输入&amp;测算结果'!$C$20,100%,CX318/'基本数据输入&amp;测算结果'!$C$20)))</f>
        <v>0</v>
      </c>
      <c r="CZ318" s="42" t="str">
        <f>IFERROR((AVERAGE(BN318:CK318)*6-'基本数据输入&amp;测算结果'!$C$24*6)/'基本数据输入&amp;测算结果'!$C$21/'基本数据输入&amp;测算结果'!$C$22,"无数据/数据缺失")</f>
        <v>无数据/数据缺失</v>
      </c>
      <c r="DA318" s="42">
        <f>IF(CZ318&lt;0,0,IF(CZ318="无数据/数据缺失",0,IF('基本数据输入&amp;测算结果'!$C$20*CY318&gt;CZ318,CZ318/'基本数据输入&amp;测算结果'!$C$20*CY318,CY318)))</f>
        <v>0</v>
      </c>
      <c r="DB318" s="49">
        <f t="shared" si="13"/>
        <v>0</v>
      </c>
      <c r="DC318" s="50"/>
      <c r="DD318" s="50"/>
    </row>
    <row r="319" customHeight="1" spans="1:108">
      <c r="A319" s="52" t="s">
        <v>361</v>
      </c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1"/>
      <c r="AI319" s="51"/>
      <c r="AJ319" s="51"/>
      <c r="AK319" s="51"/>
      <c r="AL319" s="51"/>
      <c r="AM319" s="51"/>
      <c r="AN319" s="51"/>
      <c r="AO319" s="51"/>
      <c r="AP319" s="51"/>
      <c r="AQ319" s="51"/>
      <c r="AR319" s="51"/>
      <c r="AS319" s="51"/>
      <c r="AT319" s="51"/>
      <c r="AU319" s="51"/>
      <c r="AV319" s="51"/>
      <c r="AW319" s="51"/>
      <c r="AX319" s="51"/>
      <c r="AY319" s="51"/>
      <c r="AZ319" s="51"/>
      <c r="BA319" s="51"/>
      <c r="BB319" s="51"/>
      <c r="BC319" s="51"/>
      <c r="BD319" s="51"/>
      <c r="BE319" s="51"/>
      <c r="BF319" s="51"/>
      <c r="BG319" s="51"/>
      <c r="BH319" s="51"/>
      <c r="BI319" s="51"/>
      <c r="BJ319" s="51"/>
      <c r="BK319" s="51"/>
      <c r="BL319" s="51"/>
      <c r="BM319" s="51"/>
      <c r="BN319" s="51"/>
      <c r="BO319" s="51"/>
      <c r="BP319" s="51"/>
      <c r="BQ319" s="51"/>
      <c r="BR319" s="51"/>
      <c r="BS319" s="51"/>
      <c r="BT319" s="51"/>
      <c r="BU319" s="51"/>
      <c r="BV319" s="51"/>
      <c r="BW319" s="51"/>
      <c r="BX319" s="51"/>
      <c r="BY319" s="51"/>
      <c r="BZ319" s="51"/>
      <c r="CA319" s="51"/>
      <c r="CB319" s="51"/>
      <c r="CC319" s="51"/>
      <c r="CD319" s="51"/>
      <c r="CE319" s="51"/>
      <c r="CF319" s="51"/>
      <c r="CG319" s="51"/>
      <c r="CH319" s="51"/>
      <c r="CI319" s="51"/>
      <c r="CJ319" s="51"/>
      <c r="CK319" s="51"/>
      <c r="CL319" s="51"/>
      <c r="CM319" s="51"/>
      <c r="CN319" s="51"/>
      <c r="CO319" s="51"/>
      <c r="CP319" s="51"/>
      <c r="CQ319" s="51"/>
      <c r="CR319" s="51"/>
      <c r="CS319" s="51"/>
      <c r="CT319" s="42" t="str">
        <f>IFERROR(('基本数据输入&amp;测算结果'!$C$19*7-AVERAGE(B319:Y319,CP319:CS319)*7-'基本数据输入&amp;测算结果'!$C$23*7)/'基本数据输入&amp;测算结果'!$C$21*'基本数据输入&amp;测算结果'!$C$22,"无数据/数据缺失")</f>
        <v>无数据/数据缺失</v>
      </c>
      <c r="CU319" s="42">
        <f>IF(CT319&lt;0,0,IF(CT319="无数据/数据缺失",0%,IF(CT319&gt;'基本数据输入&amp;测算结果'!$C$20,100%,CT319/'基本数据输入&amp;测算结果'!$C$20)))</f>
        <v>0</v>
      </c>
      <c r="CV319" s="42" t="str">
        <f>IFERROR((AVERAGE(Z319:AG319)*2-'基本数据输入&amp;测算结果'!$C$24*2)/'基本数据输入&amp;测算结果'!$C$21/'基本数据输入&amp;测算结果'!$C$22,"无数据/数据缺失")</f>
        <v>无数据/数据缺失</v>
      </c>
      <c r="CW319" s="42">
        <f>IF(CV319&lt;0,0,IF(CV319="无数据/数据缺失",0%,IF(CV319&gt;'基本数据输入&amp;测算结果'!$C$20*CU319,CU319,CV319/'基本数据输入&amp;测算结果'!$C$20*CU319)))</f>
        <v>0</v>
      </c>
      <c r="CX319" s="42" t="str">
        <f>IFERROR(('基本数据输入&amp;测算结果'!$C$19*3-AVERAGE(AT319:BE319)*3-'基本数据输入&amp;测算结果'!$C$23*3)/'基本数据输入&amp;测算结果'!$C$21*'基本数据输入&amp;测算结果'!$C$22,"无数据/数据缺失")</f>
        <v>无数据/数据缺失</v>
      </c>
      <c r="CY319" s="42">
        <f>IF(CX319&lt;0,0,IF(CX319="无数据/数据缺失",0%,IF(CX319&gt;'基本数据输入&amp;测算结果'!$C$20,100%,CX319/'基本数据输入&amp;测算结果'!$C$20)))</f>
        <v>0</v>
      </c>
      <c r="CZ319" s="42" t="str">
        <f>IFERROR((AVERAGE(BN319:CK319)*6-'基本数据输入&amp;测算结果'!$C$24*6)/'基本数据输入&amp;测算结果'!$C$21/'基本数据输入&amp;测算结果'!$C$22,"无数据/数据缺失")</f>
        <v>无数据/数据缺失</v>
      </c>
      <c r="DA319" s="42">
        <f>IF(CZ319&lt;0,0,IF(CZ319="无数据/数据缺失",0,IF('基本数据输入&amp;测算结果'!$C$20*CY319&gt;CZ319,CZ319/'基本数据输入&amp;测算结果'!$C$20*CY319,CY319)))</f>
        <v>0</v>
      </c>
      <c r="DB319" s="49">
        <f t="shared" si="13"/>
        <v>0</v>
      </c>
      <c r="DC319" s="50"/>
      <c r="DD319" s="50"/>
    </row>
    <row r="320" customHeight="1" spans="1:108">
      <c r="A320" s="52" t="s">
        <v>362</v>
      </c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  <c r="AG320" s="51"/>
      <c r="AH320" s="51"/>
      <c r="AI320" s="51"/>
      <c r="AJ320" s="51"/>
      <c r="AK320" s="51"/>
      <c r="AL320" s="51"/>
      <c r="AM320" s="51"/>
      <c r="AN320" s="51"/>
      <c r="AO320" s="51"/>
      <c r="AP320" s="51"/>
      <c r="AQ320" s="51"/>
      <c r="AR320" s="51"/>
      <c r="AS320" s="51"/>
      <c r="AT320" s="51"/>
      <c r="AU320" s="51"/>
      <c r="AV320" s="51"/>
      <c r="AW320" s="51"/>
      <c r="AX320" s="51"/>
      <c r="AY320" s="51"/>
      <c r="AZ320" s="51"/>
      <c r="BA320" s="51"/>
      <c r="BB320" s="51"/>
      <c r="BC320" s="51"/>
      <c r="BD320" s="51"/>
      <c r="BE320" s="51"/>
      <c r="BF320" s="51"/>
      <c r="BG320" s="51"/>
      <c r="BH320" s="51"/>
      <c r="BI320" s="51"/>
      <c r="BJ320" s="51"/>
      <c r="BK320" s="51"/>
      <c r="BL320" s="51"/>
      <c r="BM320" s="51"/>
      <c r="BN320" s="51"/>
      <c r="BO320" s="51"/>
      <c r="BP320" s="51"/>
      <c r="BQ320" s="51"/>
      <c r="BR320" s="51"/>
      <c r="BS320" s="51"/>
      <c r="BT320" s="51"/>
      <c r="BU320" s="51"/>
      <c r="BV320" s="51"/>
      <c r="BW320" s="51"/>
      <c r="BX320" s="51"/>
      <c r="BY320" s="51"/>
      <c r="BZ320" s="51"/>
      <c r="CA320" s="51"/>
      <c r="CB320" s="51"/>
      <c r="CC320" s="51"/>
      <c r="CD320" s="51"/>
      <c r="CE320" s="51"/>
      <c r="CF320" s="51"/>
      <c r="CG320" s="51"/>
      <c r="CH320" s="51"/>
      <c r="CI320" s="51"/>
      <c r="CJ320" s="51"/>
      <c r="CK320" s="51"/>
      <c r="CL320" s="51"/>
      <c r="CM320" s="51"/>
      <c r="CN320" s="51"/>
      <c r="CO320" s="51"/>
      <c r="CP320" s="51"/>
      <c r="CQ320" s="51"/>
      <c r="CR320" s="51"/>
      <c r="CS320" s="51"/>
      <c r="CT320" s="42" t="str">
        <f>IFERROR(('基本数据输入&amp;测算结果'!$C$19*7-AVERAGE(B320:Y320,CP320:CS320)*7-'基本数据输入&amp;测算结果'!$C$23*7)/'基本数据输入&amp;测算结果'!$C$21*'基本数据输入&amp;测算结果'!$C$22,"无数据/数据缺失")</f>
        <v>无数据/数据缺失</v>
      </c>
      <c r="CU320" s="42">
        <f>IF(CT320&lt;0,0,IF(CT320="无数据/数据缺失",0%,IF(CT320&gt;'基本数据输入&amp;测算结果'!$C$20,100%,CT320/'基本数据输入&amp;测算结果'!$C$20)))</f>
        <v>0</v>
      </c>
      <c r="CV320" s="42" t="str">
        <f>IFERROR((AVERAGE(Z320:AG320)*2-'基本数据输入&amp;测算结果'!$C$24*2)/'基本数据输入&amp;测算结果'!$C$21/'基本数据输入&amp;测算结果'!$C$22,"无数据/数据缺失")</f>
        <v>无数据/数据缺失</v>
      </c>
      <c r="CW320" s="42">
        <f>IF(CV320&lt;0,0,IF(CV320="无数据/数据缺失",0%,IF(CV320&gt;'基本数据输入&amp;测算结果'!$C$20*CU320,CU320,CV320/'基本数据输入&amp;测算结果'!$C$20*CU320)))</f>
        <v>0</v>
      </c>
      <c r="CX320" s="42" t="str">
        <f>IFERROR(('基本数据输入&amp;测算结果'!$C$19*3-AVERAGE(AT320:BE320)*3-'基本数据输入&amp;测算结果'!$C$23*3)/'基本数据输入&amp;测算结果'!$C$21*'基本数据输入&amp;测算结果'!$C$22,"无数据/数据缺失")</f>
        <v>无数据/数据缺失</v>
      </c>
      <c r="CY320" s="42">
        <f>IF(CX320&lt;0,0,IF(CX320="无数据/数据缺失",0%,IF(CX320&gt;'基本数据输入&amp;测算结果'!$C$20,100%,CX320/'基本数据输入&amp;测算结果'!$C$20)))</f>
        <v>0</v>
      </c>
      <c r="CZ320" s="42" t="str">
        <f>IFERROR((AVERAGE(BN320:CK320)*6-'基本数据输入&amp;测算结果'!$C$24*6)/'基本数据输入&amp;测算结果'!$C$21/'基本数据输入&amp;测算结果'!$C$22,"无数据/数据缺失")</f>
        <v>无数据/数据缺失</v>
      </c>
      <c r="DA320" s="42">
        <f>IF(CZ320&lt;0,0,IF(CZ320="无数据/数据缺失",0,IF('基本数据输入&amp;测算结果'!$C$20*CY320&gt;CZ320,CZ320/'基本数据输入&amp;测算结果'!$C$20*CY320,CY320)))</f>
        <v>0</v>
      </c>
      <c r="DB320" s="49">
        <f t="shared" si="13"/>
        <v>0</v>
      </c>
      <c r="DC320" s="50"/>
      <c r="DD320" s="50"/>
    </row>
    <row r="321" customHeight="1" spans="1:108">
      <c r="A321" s="52" t="s">
        <v>363</v>
      </c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  <c r="AG321" s="51"/>
      <c r="AH321" s="51"/>
      <c r="AI321" s="51"/>
      <c r="AJ321" s="51"/>
      <c r="AK321" s="51"/>
      <c r="AL321" s="51"/>
      <c r="AM321" s="51"/>
      <c r="AN321" s="51"/>
      <c r="AO321" s="51"/>
      <c r="AP321" s="51"/>
      <c r="AQ321" s="51"/>
      <c r="AR321" s="51"/>
      <c r="AS321" s="51"/>
      <c r="AT321" s="51"/>
      <c r="AU321" s="51"/>
      <c r="AV321" s="51"/>
      <c r="AW321" s="51"/>
      <c r="AX321" s="51"/>
      <c r="AY321" s="51"/>
      <c r="AZ321" s="51"/>
      <c r="BA321" s="51"/>
      <c r="BB321" s="51"/>
      <c r="BC321" s="51"/>
      <c r="BD321" s="51"/>
      <c r="BE321" s="51"/>
      <c r="BF321" s="51"/>
      <c r="BG321" s="51"/>
      <c r="BH321" s="51"/>
      <c r="BI321" s="51"/>
      <c r="BJ321" s="51"/>
      <c r="BK321" s="51"/>
      <c r="BL321" s="51"/>
      <c r="BM321" s="51"/>
      <c r="BN321" s="51"/>
      <c r="BO321" s="51"/>
      <c r="BP321" s="51"/>
      <c r="BQ321" s="51"/>
      <c r="BR321" s="51"/>
      <c r="BS321" s="51"/>
      <c r="BT321" s="51"/>
      <c r="BU321" s="51"/>
      <c r="BV321" s="51"/>
      <c r="BW321" s="51"/>
      <c r="BX321" s="51"/>
      <c r="BY321" s="51"/>
      <c r="BZ321" s="51"/>
      <c r="CA321" s="51"/>
      <c r="CB321" s="51"/>
      <c r="CC321" s="51"/>
      <c r="CD321" s="51"/>
      <c r="CE321" s="51"/>
      <c r="CF321" s="51"/>
      <c r="CG321" s="51"/>
      <c r="CH321" s="51"/>
      <c r="CI321" s="51"/>
      <c r="CJ321" s="51"/>
      <c r="CK321" s="51"/>
      <c r="CL321" s="51"/>
      <c r="CM321" s="51"/>
      <c r="CN321" s="51"/>
      <c r="CO321" s="51"/>
      <c r="CP321" s="51"/>
      <c r="CQ321" s="51"/>
      <c r="CR321" s="51"/>
      <c r="CS321" s="51"/>
      <c r="CT321" s="42" t="str">
        <f>IFERROR(('基本数据输入&amp;测算结果'!$C$19*7-AVERAGE(B321:Y321,CP321:CS321)*7-'基本数据输入&amp;测算结果'!$C$23*7)/'基本数据输入&amp;测算结果'!$C$21*'基本数据输入&amp;测算结果'!$C$22,"无数据/数据缺失")</f>
        <v>无数据/数据缺失</v>
      </c>
      <c r="CU321" s="42">
        <f>IF(CT321&lt;0,0,IF(CT321="无数据/数据缺失",0%,IF(CT321&gt;'基本数据输入&amp;测算结果'!$C$20,100%,CT321/'基本数据输入&amp;测算结果'!$C$20)))</f>
        <v>0</v>
      </c>
      <c r="CV321" s="42" t="str">
        <f>IFERROR((AVERAGE(Z321:AG321)*2-'基本数据输入&amp;测算结果'!$C$24*2)/'基本数据输入&amp;测算结果'!$C$21/'基本数据输入&amp;测算结果'!$C$22,"无数据/数据缺失")</f>
        <v>无数据/数据缺失</v>
      </c>
      <c r="CW321" s="42">
        <f>IF(CV321&lt;0,0,IF(CV321="无数据/数据缺失",0%,IF(CV321&gt;'基本数据输入&amp;测算结果'!$C$20*CU321,CU321,CV321/'基本数据输入&amp;测算结果'!$C$20*CU321)))</f>
        <v>0</v>
      </c>
      <c r="CX321" s="42" t="str">
        <f>IFERROR(('基本数据输入&amp;测算结果'!$C$19*3-AVERAGE(AT321:BE321)*3-'基本数据输入&amp;测算结果'!$C$23*3)/'基本数据输入&amp;测算结果'!$C$21*'基本数据输入&amp;测算结果'!$C$22,"无数据/数据缺失")</f>
        <v>无数据/数据缺失</v>
      </c>
      <c r="CY321" s="42">
        <f>IF(CX321&lt;0,0,IF(CX321="无数据/数据缺失",0%,IF(CX321&gt;'基本数据输入&amp;测算结果'!$C$20,100%,CX321/'基本数据输入&amp;测算结果'!$C$20)))</f>
        <v>0</v>
      </c>
      <c r="CZ321" s="42" t="str">
        <f>IFERROR((AVERAGE(BN321:CK321)*6-'基本数据输入&amp;测算结果'!$C$24*6)/'基本数据输入&amp;测算结果'!$C$21/'基本数据输入&amp;测算结果'!$C$22,"无数据/数据缺失")</f>
        <v>无数据/数据缺失</v>
      </c>
      <c r="DA321" s="42">
        <f>IF(CZ321&lt;0,0,IF(CZ321="无数据/数据缺失",0,IF('基本数据输入&amp;测算结果'!$C$20*CY321&gt;CZ321,CZ321/'基本数据输入&amp;测算结果'!$C$20*CY321,CY321)))</f>
        <v>0</v>
      </c>
      <c r="DB321" s="49">
        <f t="shared" si="13"/>
        <v>0</v>
      </c>
      <c r="DC321" s="50"/>
      <c r="DD321" s="50"/>
    </row>
    <row r="322" customHeight="1" spans="1:108">
      <c r="A322" s="52" t="s">
        <v>364</v>
      </c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1"/>
      <c r="AI322" s="51"/>
      <c r="AJ322" s="51"/>
      <c r="AK322" s="51"/>
      <c r="AL322" s="51"/>
      <c r="AM322" s="51"/>
      <c r="AN322" s="51"/>
      <c r="AO322" s="51"/>
      <c r="AP322" s="51"/>
      <c r="AQ322" s="51"/>
      <c r="AR322" s="51"/>
      <c r="AS322" s="51"/>
      <c r="AT322" s="51"/>
      <c r="AU322" s="51"/>
      <c r="AV322" s="51"/>
      <c r="AW322" s="51"/>
      <c r="AX322" s="51"/>
      <c r="AY322" s="51"/>
      <c r="AZ322" s="51"/>
      <c r="BA322" s="51"/>
      <c r="BB322" s="51"/>
      <c r="BC322" s="51"/>
      <c r="BD322" s="51"/>
      <c r="BE322" s="51"/>
      <c r="BF322" s="51"/>
      <c r="BG322" s="51"/>
      <c r="BH322" s="51"/>
      <c r="BI322" s="51"/>
      <c r="BJ322" s="51"/>
      <c r="BK322" s="51"/>
      <c r="BL322" s="51"/>
      <c r="BM322" s="51"/>
      <c r="BN322" s="51"/>
      <c r="BO322" s="51"/>
      <c r="BP322" s="51"/>
      <c r="BQ322" s="51"/>
      <c r="BR322" s="51"/>
      <c r="BS322" s="51"/>
      <c r="BT322" s="51"/>
      <c r="BU322" s="51"/>
      <c r="BV322" s="51"/>
      <c r="BW322" s="51"/>
      <c r="BX322" s="51"/>
      <c r="BY322" s="51"/>
      <c r="BZ322" s="51"/>
      <c r="CA322" s="51"/>
      <c r="CB322" s="51"/>
      <c r="CC322" s="51"/>
      <c r="CD322" s="51"/>
      <c r="CE322" s="51"/>
      <c r="CF322" s="51"/>
      <c r="CG322" s="51"/>
      <c r="CH322" s="51"/>
      <c r="CI322" s="51"/>
      <c r="CJ322" s="51"/>
      <c r="CK322" s="51"/>
      <c r="CL322" s="51"/>
      <c r="CM322" s="51"/>
      <c r="CN322" s="51"/>
      <c r="CO322" s="51"/>
      <c r="CP322" s="51"/>
      <c r="CQ322" s="51"/>
      <c r="CR322" s="51"/>
      <c r="CS322" s="51"/>
      <c r="CT322" s="42" t="str">
        <f>IFERROR(('基本数据输入&amp;测算结果'!$C$19*7-AVERAGE(B322:Y322,CP322:CS322)*7-'基本数据输入&amp;测算结果'!$C$23*7)/'基本数据输入&amp;测算结果'!$C$21*'基本数据输入&amp;测算结果'!$C$22,"无数据/数据缺失")</f>
        <v>无数据/数据缺失</v>
      </c>
      <c r="CU322" s="42">
        <f>IF(CT322&lt;0,0,IF(CT322="无数据/数据缺失",0%,IF(CT322&gt;'基本数据输入&amp;测算结果'!$C$20,100%,CT322/'基本数据输入&amp;测算结果'!$C$20)))</f>
        <v>0</v>
      </c>
      <c r="CV322" s="42" t="str">
        <f>IFERROR((AVERAGE(Z322:AG322)*2-'基本数据输入&amp;测算结果'!$C$24*2)/'基本数据输入&amp;测算结果'!$C$21/'基本数据输入&amp;测算结果'!$C$22,"无数据/数据缺失")</f>
        <v>无数据/数据缺失</v>
      </c>
      <c r="CW322" s="42">
        <f>IF(CV322&lt;0,0,IF(CV322="无数据/数据缺失",0%,IF(CV322&gt;'基本数据输入&amp;测算结果'!$C$20*CU322,CU322,CV322/'基本数据输入&amp;测算结果'!$C$20*CU322)))</f>
        <v>0</v>
      </c>
      <c r="CX322" s="42" t="str">
        <f>IFERROR(('基本数据输入&amp;测算结果'!$C$19*3-AVERAGE(AT322:BE322)*3-'基本数据输入&amp;测算结果'!$C$23*3)/'基本数据输入&amp;测算结果'!$C$21*'基本数据输入&amp;测算结果'!$C$22,"无数据/数据缺失")</f>
        <v>无数据/数据缺失</v>
      </c>
      <c r="CY322" s="42">
        <f>IF(CX322&lt;0,0,IF(CX322="无数据/数据缺失",0%,IF(CX322&gt;'基本数据输入&amp;测算结果'!$C$20,100%,CX322/'基本数据输入&amp;测算结果'!$C$20)))</f>
        <v>0</v>
      </c>
      <c r="CZ322" s="42" t="str">
        <f>IFERROR((AVERAGE(BN322:CK322)*6-'基本数据输入&amp;测算结果'!$C$24*6)/'基本数据输入&amp;测算结果'!$C$21/'基本数据输入&amp;测算结果'!$C$22,"无数据/数据缺失")</f>
        <v>无数据/数据缺失</v>
      </c>
      <c r="DA322" s="42">
        <f>IF(CZ322&lt;0,0,IF(CZ322="无数据/数据缺失",0,IF('基本数据输入&amp;测算结果'!$C$20*CY322&gt;CZ322,CZ322/'基本数据输入&amp;测算结果'!$C$20*CY322,CY322)))</f>
        <v>0</v>
      </c>
      <c r="DB322" s="49">
        <f t="shared" si="13"/>
        <v>0</v>
      </c>
      <c r="DC322" s="50"/>
      <c r="DD322" s="50"/>
    </row>
    <row r="323" customHeight="1" spans="1:108">
      <c r="A323" s="52" t="s">
        <v>365</v>
      </c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1"/>
      <c r="AI323" s="51"/>
      <c r="AJ323" s="51"/>
      <c r="AK323" s="51"/>
      <c r="AL323" s="51"/>
      <c r="AM323" s="51"/>
      <c r="AN323" s="51"/>
      <c r="AO323" s="51"/>
      <c r="AP323" s="51"/>
      <c r="AQ323" s="51"/>
      <c r="AR323" s="51"/>
      <c r="AS323" s="51"/>
      <c r="AT323" s="51"/>
      <c r="AU323" s="51"/>
      <c r="AV323" s="51"/>
      <c r="AW323" s="51"/>
      <c r="AX323" s="51"/>
      <c r="AY323" s="51"/>
      <c r="AZ323" s="51"/>
      <c r="BA323" s="51"/>
      <c r="BB323" s="51"/>
      <c r="BC323" s="51"/>
      <c r="BD323" s="51"/>
      <c r="BE323" s="51"/>
      <c r="BF323" s="51"/>
      <c r="BG323" s="51"/>
      <c r="BH323" s="51"/>
      <c r="BI323" s="51"/>
      <c r="BJ323" s="51"/>
      <c r="BK323" s="51"/>
      <c r="BL323" s="51"/>
      <c r="BM323" s="51"/>
      <c r="BN323" s="51"/>
      <c r="BO323" s="51"/>
      <c r="BP323" s="51"/>
      <c r="BQ323" s="51"/>
      <c r="BR323" s="51"/>
      <c r="BS323" s="51"/>
      <c r="BT323" s="51"/>
      <c r="BU323" s="51"/>
      <c r="BV323" s="51"/>
      <c r="BW323" s="51"/>
      <c r="BX323" s="51"/>
      <c r="BY323" s="51"/>
      <c r="BZ323" s="51"/>
      <c r="CA323" s="51"/>
      <c r="CB323" s="51"/>
      <c r="CC323" s="51"/>
      <c r="CD323" s="51"/>
      <c r="CE323" s="51"/>
      <c r="CF323" s="51"/>
      <c r="CG323" s="51"/>
      <c r="CH323" s="51"/>
      <c r="CI323" s="51"/>
      <c r="CJ323" s="51"/>
      <c r="CK323" s="51"/>
      <c r="CL323" s="51"/>
      <c r="CM323" s="51"/>
      <c r="CN323" s="51"/>
      <c r="CO323" s="51"/>
      <c r="CP323" s="51"/>
      <c r="CQ323" s="51"/>
      <c r="CR323" s="51"/>
      <c r="CS323" s="51"/>
      <c r="CT323" s="42" t="str">
        <f>IFERROR(('基本数据输入&amp;测算结果'!$C$19*7-AVERAGE(B323:Y323,CP323:CS323)*7-'基本数据输入&amp;测算结果'!$C$23*7)/'基本数据输入&amp;测算结果'!$C$21*'基本数据输入&amp;测算结果'!$C$22,"无数据/数据缺失")</f>
        <v>无数据/数据缺失</v>
      </c>
      <c r="CU323" s="42">
        <f>IF(CT323&lt;0,0,IF(CT323="无数据/数据缺失",0%,IF(CT323&gt;'基本数据输入&amp;测算结果'!$C$20,100%,CT323/'基本数据输入&amp;测算结果'!$C$20)))</f>
        <v>0</v>
      </c>
      <c r="CV323" s="42" t="str">
        <f>IFERROR((AVERAGE(Z323:AG323)*2-'基本数据输入&amp;测算结果'!$C$24*2)/'基本数据输入&amp;测算结果'!$C$21/'基本数据输入&amp;测算结果'!$C$22,"无数据/数据缺失")</f>
        <v>无数据/数据缺失</v>
      </c>
      <c r="CW323" s="42">
        <f>IF(CV323&lt;0,0,IF(CV323="无数据/数据缺失",0%,IF(CV323&gt;'基本数据输入&amp;测算结果'!$C$20*CU323,CU323,CV323/'基本数据输入&amp;测算结果'!$C$20*CU323)))</f>
        <v>0</v>
      </c>
      <c r="CX323" s="42" t="str">
        <f>IFERROR(('基本数据输入&amp;测算结果'!$C$19*3-AVERAGE(AT323:BE323)*3-'基本数据输入&amp;测算结果'!$C$23*3)/'基本数据输入&amp;测算结果'!$C$21*'基本数据输入&amp;测算结果'!$C$22,"无数据/数据缺失")</f>
        <v>无数据/数据缺失</v>
      </c>
      <c r="CY323" s="42">
        <f>IF(CX323&lt;0,0,IF(CX323="无数据/数据缺失",0%,IF(CX323&gt;'基本数据输入&amp;测算结果'!$C$20,100%,CX323/'基本数据输入&amp;测算结果'!$C$20)))</f>
        <v>0</v>
      </c>
      <c r="CZ323" s="42" t="str">
        <f>IFERROR((AVERAGE(BN323:CK323)*6-'基本数据输入&amp;测算结果'!$C$24*6)/'基本数据输入&amp;测算结果'!$C$21/'基本数据输入&amp;测算结果'!$C$22,"无数据/数据缺失")</f>
        <v>无数据/数据缺失</v>
      </c>
      <c r="DA323" s="42">
        <f>IF(CZ323&lt;0,0,IF(CZ323="无数据/数据缺失",0,IF('基本数据输入&amp;测算结果'!$C$20*CY323&gt;CZ323,CZ323/'基本数据输入&amp;测算结果'!$C$20*CY323,CY323)))</f>
        <v>0</v>
      </c>
      <c r="DB323" s="49">
        <f t="shared" si="13"/>
        <v>0</v>
      </c>
      <c r="DC323" s="50"/>
      <c r="DD323" s="50"/>
    </row>
    <row r="324" customHeight="1" spans="1:108">
      <c r="A324" s="52" t="s">
        <v>366</v>
      </c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1"/>
      <c r="AI324" s="51"/>
      <c r="AJ324" s="51"/>
      <c r="AK324" s="51"/>
      <c r="AL324" s="51"/>
      <c r="AM324" s="51"/>
      <c r="AN324" s="51"/>
      <c r="AO324" s="51"/>
      <c r="AP324" s="51"/>
      <c r="AQ324" s="51"/>
      <c r="AR324" s="51"/>
      <c r="AS324" s="51"/>
      <c r="AT324" s="51"/>
      <c r="AU324" s="51"/>
      <c r="AV324" s="51"/>
      <c r="AW324" s="51"/>
      <c r="AX324" s="51"/>
      <c r="AY324" s="51"/>
      <c r="AZ324" s="51"/>
      <c r="BA324" s="51"/>
      <c r="BB324" s="51"/>
      <c r="BC324" s="51"/>
      <c r="BD324" s="51"/>
      <c r="BE324" s="51"/>
      <c r="BF324" s="51"/>
      <c r="BG324" s="51"/>
      <c r="BH324" s="51"/>
      <c r="BI324" s="51"/>
      <c r="BJ324" s="51"/>
      <c r="BK324" s="51"/>
      <c r="BL324" s="51"/>
      <c r="BM324" s="51"/>
      <c r="BN324" s="51"/>
      <c r="BO324" s="51"/>
      <c r="BP324" s="51"/>
      <c r="BQ324" s="51"/>
      <c r="BR324" s="51"/>
      <c r="BS324" s="51"/>
      <c r="BT324" s="51"/>
      <c r="BU324" s="51"/>
      <c r="BV324" s="51"/>
      <c r="BW324" s="51"/>
      <c r="BX324" s="51"/>
      <c r="BY324" s="51"/>
      <c r="BZ324" s="51"/>
      <c r="CA324" s="51"/>
      <c r="CB324" s="51"/>
      <c r="CC324" s="51"/>
      <c r="CD324" s="51"/>
      <c r="CE324" s="51"/>
      <c r="CF324" s="51"/>
      <c r="CG324" s="51"/>
      <c r="CH324" s="51"/>
      <c r="CI324" s="51"/>
      <c r="CJ324" s="51"/>
      <c r="CK324" s="51"/>
      <c r="CL324" s="51"/>
      <c r="CM324" s="51"/>
      <c r="CN324" s="51"/>
      <c r="CO324" s="51"/>
      <c r="CP324" s="51"/>
      <c r="CQ324" s="51"/>
      <c r="CR324" s="51"/>
      <c r="CS324" s="51"/>
      <c r="CT324" s="42" t="str">
        <f>IFERROR(('基本数据输入&amp;测算结果'!$C$19*7-AVERAGE(B324:Y324,CP324:CS324)*7-'基本数据输入&amp;测算结果'!$C$23*7)/'基本数据输入&amp;测算结果'!$C$21*'基本数据输入&amp;测算结果'!$C$22,"无数据/数据缺失")</f>
        <v>无数据/数据缺失</v>
      </c>
      <c r="CU324" s="42">
        <f>IF(CT324&lt;0,0,IF(CT324="无数据/数据缺失",0%,IF(CT324&gt;'基本数据输入&amp;测算结果'!$C$20,100%,CT324/'基本数据输入&amp;测算结果'!$C$20)))</f>
        <v>0</v>
      </c>
      <c r="CV324" s="42" t="str">
        <f>IFERROR((AVERAGE(Z324:AG324)*2-'基本数据输入&amp;测算结果'!$C$24*2)/'基本数据输入&amp;测算结果'!$C$21/'基本数据输入&amp;测算结果'!$C$22,"无数据/数据缺失")</f>
        <v>无数据/数据缺失</v>
      </c>
      <c r="CW324" s="42">
        <f>IF(CV324&lt;0,0,IF(CV324="无数据/数据缺失",0%,IF(CV324&gt;'基本数据输入&amp;测算结果'!$C$20*CU324,CU324,CV324/'基本数据输入&amp;测算结果'!$C$20*CU324)))</f>
        <v>0</v>
      </c>
      <c r="CX324" s="42" t="str">
        <f>IFERROR(('基本数据输入&amp;测算结果'!$C$19*3-AVERAGE(AT324:BE324)*3-'基本数据输入&amp;测算结果'!$C$23*3)/'基本数据输入&amp;测算结果'!$C$21*'基本数据输入&amp;测算结果'!$C$22,"无数据/数据缺失")</f>
        <v>无数据/数据缺失</v>
      </c>
      <c r="CY324" s="42">
        <f>IF(CX324&lt;0,0,IF(CX324="无数据/数据缺失",0%,IF(CX324&gt;'基本数据输入&amp;测算结果'!$C$20,100%,CX324/'基本数据输入&amp;测算结果'!$C$20)))</f>
        <v>0</v>
      </c>
      <c r="CZ324" s="42" t="str">
        <f>IFERROR((AVERAGE(BN324:CK324)*6-'基本数据输入&amp;测算结果'!$C$24*6)/'基本数据输入&amp;测算结果'!$C$21/'基本数据输入&amp;测算结果'!$C$22,"无数据/数据缺失")</f>
        <v>无数据/数据缺失</v>
      </c>
      <c r="DA324" s="42">
        <f>IF(CZ324&lt;0,0,IF(CZ324="无数据/数据缺失",0,IF('基本数据输入&amp;测算结果'!$C$20*CY324&gt;CZ324,CZ324/'基本数据输入&amp;测算结果'!$C$20*CY324,CY324)))</f>
        <v>0</v>
      </c>
      <c r="DB324" s="49">
        <f t="shared" si="13"/>
        <v>0</v>
      </c>
      <c r="DC324" s="50"/>
      <c r="DD324" s="50"/>
    </row>
    <row r="325" customHeight="1" spans="1:108">
      <c r="A325" s="52" t="s">
        <v>367</v>
      </c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  <c r="AG325" s="51"/>
      <c r="AH325" s="51"/>
      <c r="AI325" s="51"/>
      <c r="AJ325" s="51"/>
      <c r="AK325" s="51"/>
      <c r="AL325" s="51"/>
      <c r="AM325" s="51"/>
      <c r="AN325" s="51"/>
      <c r="AO325" s="51"/>
      <c r="AP325" s="51"/>
      <c r="AQ325" s="51"/>
      <c r="AR325" s="51"/>
      <c r="AS325" s="51"/>
      <c r="AT325" s="51"/>
      <c r="AU325" s="51"/>
      <c r="AV325" s="51"/>
      <c r="AW325" s="51"/>
      <c r="AX325" s="51"/>
      <c r="AY325" s="51"/>
      <c r="AZ325" s="51"/>
      <c r="BA325" s="51"/>
      <c r="BB325" s="51"/>
      <c r="BC325" s="51"/>
      <c r="BD325" s="51"/>
      <c r="BE325" s="51"/>
      <c r="BF325" s="51"/>
      <c r="BG325" s="51"/>
      <c r="BH325" s="51"/>
      <c r="BI325" s="51"/>
      <c r="BJ325" s="51"/>
      <c r="BK325" s="51"/>
      <c r="BL325" s="51"/>
      <c r="BM325" s="51"/>
      <c r="BN325" s="51"/>
      <c r="BO325" s="51"/>
      <c r="BP325" s="51"/>
      <c r="BQ325" s="51"/>
      <c r="BR325" s="51"/>
      <c r="BS325" s="51"/>
      <c r="BT325" s="51"/>
      <c r="BU325" s="51"/>
      <c r="BV325" s="51"/>
      <c r="BW325" s="51"/>
      <c r="BX325" s="51"/>
      <c r="BY325" s="51"/>
      <c r="BZ325" s="51"/>
      <c r="CA325" s="51"/>
      <c r="CB325" s="51"/>
      <c r="CC325" s="51"/>
      <c r="CD325" s="51"/>
      <c r="CE325" s="51"/>
      <c r="CF325" s="51"/>
      <c r="CG325" s="51"/>
      <c r="CH325" s="51"/>
      <c r="CI325" s="51"/>
      <c r="CJ325" s="51"/>
      <c r="CK325" s="51"/>
      <c r="CL325" s="51"/>
      <c r="CM325" s="51"/>
      <c r="CN325" s="51"/>
      <c r="CO325" s="51"/>
      <c r="CP325" s="51"/>
      <c r="CQ325" s="51"/>
      <c r="CR325" s="51"/>
      <c r="CS325" s="51"/>
      <c r="CT325" s="42" t="str">
        <f>IFERROR(('基本数据输入&amp;测算结果'!$C$19*7-AVERAGE(B325:Y325,CP325:CS325)*7-'基本数据输入&amp;测算结果'!$C$23*7)/'基本数据输入&amp;测算结果'!$C$21*'基本数据输入&amp;测算结果'!$C$22,"无数据/数据缺失")</f>
        <v>无数据/数据缺失</v>
      </c>
      <c r="CU325" s="42">
        <f>IF(CT325&lt;0,0,IF(CT325="无数据/数据缺失",0%,IF(CT325&gt;'基本数据输入&amp;测算结果'!$C$20,100%,CT325/'基本数据输入&amp;测算结果'!$C$20)))</f>
        <v>0</v>
      </c>
      <c r="CV325" s="42" t="str">
        <f>IFERROR((AVERAGE(Z325:AG325)*2-'基本数据输入&amp;测算结果'!$C$24*2)/'基本数据输入&amp;测算结果'!$C$21/'基本数据输入&amp;测算结果'!$C$22,"无数据/数据缺失")</f>
        <v>无数据/数据缺失</v>
      </c>
      <c r="CW325" s="42">
        <f>IF(CV325&lt;0,0,IF(CV325="无数据/数据缺失",0%,IF(CV325&gt;'基本数据输入&amp;测算结果'!$C$20*CU325,CU325,CV325/'基本数据输入&amp;测算结果'!$C$20*CU325)))</f>
        <v>0</v>
      </c>
      <c r="CX325" s="42" t="str">
        <f>IFERROR(('基本数据输入&amp;测算结果'!$C$19*3-AVERAGE(AT325:BE325)*3-'基本数据输入&amp;测算结果'!$C$23*3)/'基本数据输入&amp;测算结果'!$C$21*'基本数据输入&amp;测算结果'!$C$22,"无数据/数据缺失")</f>
        <v>无数据/数据缺失</v>
      </c>
      <c r="CY325" s="42">
        <f>IF(CX325&lt;0,0,IF(CX325="无数据/数据缺失",0%,IF(CX325&gt;'基本数据输入&amp;测算结果'!$C$20,100%,CX325/'基本数据输入&amp;测算结果'!$C$20)))</f>
        <v>0</v>
      </c>
      <c r="CZ325" s="42" t="str">
        <f>IFERROR((AVERAGE(BN325:CK325)*6-'基本数据输入&amp;测算结果'!$C$24*6)/'基本数据输入&amp;测算结果'!$C$21/'基本数据输入&amp;测算结果'!$C$22,"无数据/数据缺失")</f>
        <v>无数据/数据缺失</v>
      </c>
      <c r="DA325" s="42">
        <f>IF(CZ325&lt;0,0,IF(CZ325="无数据/数据缺失",0,IF('基本数据输入&amp;测算结果'!$C$20*CY325&gt;CZ325,CZ325/'基本数据输入&amp;测算结果'!$C$20*CY325,CY325)))</f>
        <v>0</v>
      </c>
      <c r="DB325" s="49">
        <f t="shared" si="13"/>
        <v>0</v>
      </c>
      <c r="DC325" s="50"/>
      <c r="DD325" s="50"/>
    </row>
    <row r="326" customHeight="1" spans="1:108">
      <c r="A326" s="52" t="s">
        <v>368</v>
      </c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1"/>
      <c r="AN326" s="51"/>
      <c r="AO326" s="51"/>
      <c r="AP326" s="51"/>
      <c r="AQ326" s="51"/>
      <c r="AR326" s="51"/>
      <c r="AS326" s="51"/>
      <c r="AT326" s="51"/>
      <c r="AU326" s="51"/>
      <c r="AV326" s="51"/>
      <c r="AW326" s="51"/>
      <c r="AX326" s="51"/>
      <c r="AY326" s="51"/>
      <c r="AZ326" s="51"/>
      <c r="BA326" s="51"/>
      <c r="BB326" s="51"/>
      <c r="BC326" s="51"/>
      <c r="BD326" s="51"/>
      <c r="BE326" s="51"/>
      <c r="BF326" s="51"/>
      <c r="BG326" s="51"/>
      <c r="BH326" s="51"/>
      <c r="BI326" s="51"/>
      <c r="BJ326" s="51"/>
      <c r="BK326" s="51"/>
      <c r="BL326" s="51"/>
      <c r="BM326" s="51"/>
      <c r="BN326" s="51"/>
      <c r="BO326" s="51"/>
      <c r="BP326" s="51"/>
      <c r="BQ326" s="51"/>
      <c r="BR326" s="51"/>
      <c r="BS326" s="51"/>
      <c r="BT326" s="51"/>
      <c r="BU326" s="51"/>
      <c r="BV326" s="51"/>
      <c r="BW326" s="51"/>
      <c r="BX326" s="51"/>
      <c r="BY326" s="51"/>
      <c r="BZ326" s="51"/>
      <c r="CA326" s="51"/>
      <c r="CB326" s="51"/>
      <c r="CC326" s="51"/>
      <c r="CD326" s="51"/>
      <c r="CE326" s="51"/>
      <c r="CF326" s="51"/>
      <c r="CG326" s="51"/>
      <c r="CH326" s="51"/>
      <c r="CI326" s="51"/>
      <c r="CJ326" s="51"/>
      <c r="CK326" s="51"/>
      <c r="CL326" s="51"/>
      <c r="CM326" s="51"/>
      <c r="CN326" s="51"/>
      <c r="CO326" s="51"/>
      <c r="CP326" s="51"/>
      <c r="CQ326" s="51"/>
      <c r="CR326" s="51"/>
      <c r="CS326" s="51"/>
      <c r="CT326" s="42" t="str">
        <f>IFERROR(('基本数据输入&amp;测算结果'!$C$19*7-AVERAGE(B326:Y326,CP326:CS326)*7-'基本数据输入&amp;测算结果'!$C$23*7)/'基本数据输入&amp;测算结果'!$C$21*'基本数据输入&amp;测算结果'!$C$22,"无数据/数据缺失")</f>
        <v>无数据/数据缺失</v>
      </c>
      <c r="CU326" s="42">
        <f>IF(CT326&lt;0,0,IF(CT326="无数据/数据缺失",0%,IF(CT326&gt;'基本数据输入&amp;测算结果'!$C$20,100%,CT326/'基本数据输入&amp;测算结果'!$C$20)))</f>
        <v>0</v>
      </c>
      <c r="CV326" s="42" t="str">
        <f>IFERROR((AVERAGE(Z326:AG326)*2-'基本数据输入&amp;测算结果'!$C$24*2)/'基本数据输入&amp;测算结果'!$C$21/'基本数据输入&amp;测算结果'!$C$22,"无数据/数据缺失")</f>
        <v>无数据/数据缺失</v>
      </c>
      <c r="CW326" s="42">
        <f>IF(CV326&lt;0,0,IF(CV326="无数据/数据缺失",0%,IF(CV326&gt;'基本数据输入&amp;测算结果'!$C$20*CU326,CU326,CV326/'基本数据输入&amp;测算结果'!$C$20*CU326)))</f>
        <v>0</v>
      </c>
      <c r="CX326" s="42" t="str">
        <f>IFERROR(('基本数据输入&amp;测算结果'!$C$19*3-AVERAGE(AT326:BE326)*3-'基本数据输入&amp;测算结果'!$C$23*3)/'基本数据输入&amp;测算结果'!$C$21*'基本数据输入&amp;测算结果'!$C$22,"无数据/数据缺失")</f>
        <v>无数据/数据缺失</v>
      </c>
      <c r="CY326" s="42">
        <f>IF(CX326&lt;0,0,IF(CX326="无数据/数据缺失",0%,IF(CX326&gt;'基本数据输入&amp;测算结果'!$C$20,100%,CX326/'基本数据输入&amp;测算结果'!$C$20)))</f>
        <v>0</v>
      </c>
      <c r="CZ326" s="42" t="str">
        <f>IFERROR((AVERAGE(BN326:CK326)*6-'基本数据输入&amp;测算结果'!$C$24*6)/'基本数据输入&amp;测算结果'!$C$21/'基本数据输入&amp;测算结果'!$C$22,"无数据/数据缺失")</f>
        <v>无数据/数据缺失</v>
      </c>
      <c r="DA326" s="42">
        <f>IF(CZ326&lt;0,0,IF(CZ326="无数据/数据缺失",0,IF('基本数据输入&amp;测算结果'!$C$20*CY326&gt;CZ326,CZ326/'基本数据输入&amp;测算结果'!$C$20*CY326,CY326)))</f>
        <v>0</v>
      </c>
      <c r="DB326" s="49">
        <f t="shared" si="13"/>
        <v>0</v>
      </c>
      <c r="DC326" s="50"/>
      <c r="DD326" s="50"/>
    </row>
    <row r="327" customHeight="1" spans="1:108">
      <c r="A327" s="52" t="s">
        <v>369</v>
      </c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  <c r="AH327" s="51"/>
      <c r="AI327" s="51"/>
      <c r="AJ327" s="51"/>
      <c r="AK327" s="51"/>
      <c r="AL327" s="51"/>
      <c r="AM327" s="51"/>
      <c r="AN327" s="51"/>
      <c r="AO327" s="51"/>
      <c r="AP327" s="51"/>
      <c r="AQ327" s="51"/>
      <c r="AR327" s="51"/>
      <c r="AS327" s="51"/>
      <c r="AT327" s="51"/>
      <c r="AU327" s="51"/>
      <c r="AV327" s="51"/>
      <c r="AW327" s="51"/>
      <c r="AX327" s="51"/>
      <c r="AY327" s="51"/>
      <c r="AZ327" s="51"/>
      <c r="BA327" s="51"/>
      <c r="BB327" s="51"/>
      <c r="BC327" s="51"/>
      <c r="BD327" s="51"/>
      <c r="BE327" s="51"/>
      <c r="BF327" s="51"/>
      <c r="BG327" s="51"/>
      <c r="BH327" s="51"/>
      <c r="BI327" s="51"/>
      <c r="BJ327" s="51"/>
      <c r="BK327" s="51"/>
      <c r="BL327" s="51"/>
      <c r="BM327" s="51"/>
      <c r="BN327" s="51"/>
      <c r="BO327" s="51"/>
      <c r="BP327" s="51"/>
      <c r="BQ327" s="51"/>
      <c r="BR327" s="51"/>
      <c r="BS327" s="51"/>
      <c r="BT327" s="51"/>
      <c r="BU327" s="51"/>
      <c r="BV327" s="51"/>
      <c r="BW327" s="51"/>
      <c r="BX327" s="51"/>
      <c r="BY327" s="51"/>
      <c r="BZ327" s="51"/>
      <c r="CA327" s="51"/>
      <c r="CB327" s="51"/>
      <c r="CC327" s="51"/>
      <c r="CD327" s="51"/>
      <c r="CE327" s="51"/>
      <c r="CF327" s="51"/>
      <c r="CG327" s="51"/>
      <c r="CH327" s="51"/>
      <c r="CI327" s="51"/>
      <c r="CJ327" s="51"/>
      <c r="CK327" s="51"/>
      <c r="CL327" s="51"/>
      <c r="CM327" s="51"/>
      <c r="CN327" s="51"/>
      <c r="CO327" s="51"/>
      <c r="CP327" s="51"/>
      <c r="CQ327" s="51"/>
      <c r="CR327" s="51"/>
      <c r="CS327" s="51"/>
      <c r="CT327" s="42" t="str">
        <f>IFERROR(('基本数据输入&amp;测算结果'!$C$19*7-AVERAGE(B327:Y327,CP327:CS327)*7-'基本数据输入&amp;测算结果'!$C$23*7)/'基本数据输入&amp;测算结果'!$C$21*'基本数据输入&amp;测算结果'!$C$22,"无数据/数据缺失")</f>
        <v>无数据/数据缺失</v>
      </c>
      <c r="CU327" s="42">
        <f>IF(CT327&lt;0,0,IF(CT327="无数据/数据缺失",0%,IF(CT327&gt;'基本数据输入&amp;测算结果'!$C$20,100%,CT327/'基本数据输入&amp;测算结果'!$C$20)))</f>
        <v>0</v>
      </c>
      <c r="CV327" s="42" t="str">
        <f>IFERROR((AVERAGE(Z327:AG327)*2-'基本数据输入&amp;测算结果'!$C$24*2)/'基本数据输入&amp;测算结果'!$C$21/'基本数据输入&amp;测算结果'!$C$22,"无数据/数据缺失")</f>
        <v>无数据/数据缺失</v>
      </c>
      <c r="CW327" s="42">
        <f>IF(CV327&lt;0,0,IF(CV327="无数据/数据缺失",0%,IF(CV327&gt;'基本数据输入&amp;测算结果'!$C$20*CU327,CU327,CV327/'基本数据输入&amp;测算结果'!$C$20*CU327)))</f>
        <v>0</v>
      </c>
      <c r="CX327" s="42" t="str">
        <f>IFERROR(('基本数据输入&amp;测算结果'!$C$19*3-AVERAGE(AT327:BE327)*3-'基本数据输入&amp;测算结果'!$C$23*3)/'基本数据输入&amp;测算结果'!$C$21*'基本数据输入&amp;测算结果'!$C$22,"无数据/数据缺失")</f>
        <v>无数据/数据缺失</v>
      </c>
      <c r="CY327" s="42">
        <f>IF(CX327&lt;0,0,IF(CX327="无数据/数据缺失",0%,IF(CX327&gt;'基本数据输入&amp;测算结果'!$C$20,100%,CX327/'基本数据输入&amp;测算结果'!$C$20)))</f>
        <v>0</v>
      </c>
      <c r="CZ327" s="42" t="str">
        <f>IFERROR((AVERAGE(BN327:CK327)*6-'基本数据输入&amp;测算结果'!$C$24*6)/'基本数据输入&amp;测算结果'!$C$21/'基本数据输入&amp;测算结果'!$C$22,"无数据/数据缺失")</f>
        <v>无数据/数据缺失</v>
      </c>
      <c r="DA327" s="42">
        <f>IF(CZ327&lt;0,0,IF(CZ327="无数据/数据缺失",0,IF('基本数据输入&amp;测算结果'!$C$20*CY327&gt;CZ327,CZ327/'基本数据输入&amp;测算结果'!$C$20*CY327,CY327)))</f>
        <v>0</v>
      </c>
      <c r="DB327" s="49">
        <f t="shared" si="13"/>
        <v>0</v>
      </c>
      <c r="DC327" s="50"/>
      <c r="DD327" s="50"/>
    </row>
    <row r="328" customHeight="1" spans="1:108">
      <c r="A328" s="52" t="s">
        <v>370</v>
      </c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  <c r="AH328" s="51"/>
      <c r="AI328" s="51"/>
      <c r="AJ328" s="51"/>
      <c r="AK328" s="51"/>
      <c r="AL328" s="51"/>
      <c r="AM328" s="51"/>
      <c r="AN328" s="51"/>
      <c r="AO328" s="51"/>
      <c r="AP328" s="51"/>
      <c r="AQ328" s="51"/>
      <c r="AR328" s="51"/>
      <c r="AS328" s="51"/>
      <c r="AT328" s="51"/>
      <c r="AU328" s="51"/>
      <c r="AV328" s="51"/>
      <c r="AW328" s="51"/>
      <c r="AX328" s="51"/>
      <c r="AY328" s="51"/>
      <c r="AZ328" s="51"/>
      <c r="BA328" s="51"/>
      <c r="BB328" s="51"/>
      <c r="BC328" s="51"/>
      <c r="BD328" s="51"/>
      <c r="BE328" s="51"/>
      <c r="BF328" s="51"/>
      <c r="BG328" s="51"/>
      <c r="BH328" s="51"/>
      <c r="BI328" s="51"/>
      <c r="BJ328" s="51"/>
      <c r="BK328" s="51"/>
      <c r="BL328" s="51"/>
      <c r="BM328" s="51"/>
      <c r="BN328" s="51"/>
      <c r="BO328" s="51"/>
      <c r="BP328" s="51"/>
      <c r="BQ328" s="51"/>
      <c r="BR328" s="51"/>
      <c r="BS328" s="51"/>
      <c r="BT328" s="51"/>
      <c r="BU328" s="51"/>
      <c r="BV328" s="51"/>
      <c r="BW328" s="51"/>
      <c r="BX328" s="51"/>
      <c r="BY328" s="51"/>
      <c r="BZ328" s="51"/>
      <c r="CA328" s="51"/>
      <c r="CB328" s="51"/>
      <c r="CC328" s="51"/>
      <c r="CD328" s="51"/>
      <c r="CE328" s="51"/>
      <c r="CF328" s="51"/>
      <c r="CG328" s="51"/>
      <c r="CH328" s="51"/>
      <c r="CI328" s="51"/>
      <c r="CJ328" s="51"/>
      <c r="CK328" s="51"/>
      <c r="CL328" s="51"/>
      <c r="CM328" s="51"/>
      <c r="CN328" s="51"/>
      <c r="CO328" s="51"/>
      <c r="CP328" s="51"/>
      <c r="CQ328" s="51"/>
      <c r="CR328" s="51"/>
      <c r="CS328" s="51"/>
      <c r="CT328" s="42" t="str">
        <f>IFERROR(('基本数据输入&amp;测算结果'!$C$19*7-AVERAGE(B328:Y328,CP328:CS328)*7-'基本数据输入&amp;测算结果'!$C$23*7)/'基本数据输入&amp;测算结果'!$C$21*'基本数据输入&amp;测算结果'!$C$22,"无数据/数据缺失")</f>
        <v>无数据/数据缺失</v>
      </c>
      <c r="CU328" s="42">
        <f>IF(CT328&lt;0,0,IF(CT328="无数据/数据缺失",0%,IF(CT328&gt;'基本数据输入&amp;测算结果'!$C$20,100%,CT328/'基本数据输入&amp;测算结果'!$C$20)))</f>
        <v>0</v>
      </c>
      <c r="CV328" s="42" t="str">
        <f>IFERROR((AVERAGE(Z328:AG328)*2-'基本数据输入&amp;测算结果'!$C$24*2)/'基本数据输入&amp;测算结果'!$C$21/'基本数据输入&amp;测算结果'!$C$22,"无数据/数据缺失")</f>
        <v>无数据/数据缺失</v>
      </c>
      <c r="CW328" s="42">
        <f>IF(CV328&lt;0,0,IF(CV328="无数据/数据缺失",0%,IF(CV328&gt;'基本数据输入&amp;测算结果'!$C$20*CU328,CU328,CV328/'基本数据输入&amp;测算结果'!$C$20*CU328)))</f>
        <v>0</v>
      </c>
      <c r="CX328" s="42" t="str">
        <f>IFERROR(('基本数据输入&amp;测算结果'!$C$19*3-AVERAGE(AT328:BE328)*3-'基本数据输入&amp;测算结果'!$C$23*3)/'基本数据输入&amp;测算结果'!$C$21*'基本数据输入&amp;测算结果'!$C$22,"无数据/数据缺失")</f>
        <v>无数据/数据缺失</v>
      </c>
      <c r="CY328" s="42">
        <f>IF(CX328&lt;0,0,IF(CX328="无数据/数据缺失",0%,IF(CX328&gt;'基本数据输入&amp;测算结果'!$C$20,100%,CX328/'基本数据输入&amp;测算结果'!$C$20)))</f>
        <v>0</v>
      </c>
      <c r="CZ328" s="42" t="str">
        <f>IFERROR((AVERAGE(BN328:CK328)*6-'基本数据输入&amp;测算结果'!$C$24*6)/'基本数据输入&amp;测算结果'!$C$21/'基本数据输入&amp;测算结果'!$C$22,"无数据/数据缺失")</f>
        <v>无数据/数据缺失</v>
      </c>
      <c r="DA328" s="42">
        <f>IF(CZ328&lt;0,0,IF(CZ328="无数据/数据缺失",0,IF('基本数据输入&amp;测算结果'!$C$20*CY328&gt;CZ328,CZ328/'基本数据输入&amp;测算结果'!$C$20*CY328,CY328)))</f>
        <v>0</v>
      </c>
      <c r="DB328" s="49">
        <f t="shared" si="13"/>
        <v>0</v>
      </c>
      <c r="DC328" s="50"/>
      <c r="DD328" s="50"/>
    </row>
    <row r="329" customHeight="1" spans="1:108">
      <c r="A329" s="52" t="s">
        <v>371</v>
      </c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  <c r="AI329" s="51"/>
      <c r="AJ329" s="51"/>
      <c r="AK329" s="51"/>
      <c r="AL329" s="51"/>
      <c r="AM329" s="51"/>
      <c r="AN329" s="51"/>
      <c r="AO329" s="51"/>
      <c r="AP329" s="51"/>
      <c r="AQ329" s="51"/>
      <c r="AR329" s="51"/>
      <c r="AS329" s="51"/>
      <c r="AT329" s="51"/>
      <c r="AU329" s="51"/>
      <c r="AV329" s="51"/>
      <c r="AW329" s="51"/>
      <c r="AX329" s="51"/>
      <c r="AY329" s="51"/>
      <c r="AZ329" s="51"/>
      <c r="BA329" s="51"/>
      <c r="BB329" s="51"/>
      <c r="BC329" s="51"/>
      <c r="BD329" s="51"/>
      <c r="BE329" s="51"/>
      <c r="BF329" s="51"/>
      <c r="BG329" s="51"/>
      <c r="BH329" s="51"/>
      <c r="BI329" s="51"/>
      <c r="BJ329" s="51"/>
      <c r="BK329" s="51"/>
      <c r="BL329" s="51"/>
      <c r="BM329" s="51"/>
      <c r="BN329" s="51"/>
      <c r="BO329" s="51"/>
      <c r="BP329" s="51"/>
      <c r="BQ329" s="51"/>
      <c r="BR329" s="51"/>
      <c r="BS329" s="51"/>
      <c r="BT329" s="51"/>
      <c r="BU329" s="51"/>
      <c r="BV329" s="51"/>
      <c r="BW329" s="51"/>
      <c r="BX329" s="51"/>
      <c r="BY329" s="51"/>
      <c r="BZ329" s="51"/>
      <c r="CA329" s="51"/>
      <c r="CB329" s="51"/>
      <c r="CC329" s="51"/>
      <c r="CD329" s="51"/>
      <c r="CE329" s="51"/>
      <c r="CF329" s="51"/>
      <c r="CG329" s="51"/>
      <c r="CH329" s="51"/>
      <c r="CI329" s="51"/>
      <c r="CJ329" s="51"/>
      <c r="CK329" s="51"/>
      <c r="CL329" s="51"/>
      <c r="CM329" s="51"/>
      <c r="CN329" s="51"/>
      <c r="CO329" s="51"/>
      <c r="CP329" s="51"/>
      <c r="CQ329" s="51"/>
      <c r="CR329" s="51"/>
      <c r="CS329" s="51"/>
      <c r="CT329" s="42" t="str">
        <f>IFERROR(('基本数据输入&amp;测算结果'!$C$19*7-AVERAGE(B329:Y329,CP329:CS329)*7-'基本数据输入&amp;测算结果'!$C$23*7)/'基本数据输入&amp;测算结果'!$C$21*'基本数据输入&amp;测算结果'!$C$22,"无数据/数据缺失")</f>
        <v>无数据/数据缺失</v>
      </c>
      <c r="CU329" s="42">
        <f>IF(CT329&lt;0,0,IF(CT329="无数据/数据缺失",0%,IF(CT329&gt;'基本数据输入&amp;测算结果'!$C$20,100%,CT329/'基本数据输入&amp;测算结果'!$C$20)))</f>
        <v>0</v>
      </c>
      <c r="CV329" s="42" t="str">
        <f>IFERROR((AVERAGE(Z329:AG329)*2-'基本数据输入&amp;测算结果'!$C$24*2)/'基本数据输入&amp;测算结果'!$C$21/'基本数据输入&amp;测算结果'!$C$22,"无数据/数据缺失")</f>
        <v>无数据/数据缺失</v>
      </c>
      <c r="CW329" s="42">
        <f>IF(CV329&lt;0,0,IF(CV329="无数据/数据缺失",0%,IF(CV329&gt;'基本数据输入&amp;测算结果'!$C$20*CU329,CU329,CV329/'基本数据输入&amp;测算结果'!$C$20*CU329)))</f>
        <v>0</v>
      </c>
      <c r="CX329" s="42" t="str">
        <f>IFERROR(('基本数据输入&amp;测算结果'!$C$19*3-AVERAGE(AT329:BE329)*3-'基本数据输入&amp;测算结果'!$C$23*3)/'基本数据输入&amp;测算结果'!$C$21*'基本数据输入&amp;测算结果'!$C$22,"无数据/数据缺失")</f>
        <v>无数据/数据缺失</v>
      </c>
      <c r="CY329" s="42">
        <f>IF(CX329&lt;0,0,IF(CX329="无数据/数据缺失",0%,IF(CX329&gt;'基本数据输入&amp;测算结果'!$C$20,100%,CX329/'基本数据输入&amp;测算结果'!$C$20)))</f>
        <v>0</v>
      </c>
      <c r="CZ329" s="42" t="str">
        <f>IFERROR((AVERAGE(BN329:CK329)*6-'基本数据输入&amp;测算结果'!$C$24*6)/'基本数据输入&amp;测算结果'!$C$21/'基本数据输入&amp;测算结果'!$C$22,"无数据/数据缺失")</f>
        <v>无数据/数据缺失</v>
      </c>
      <c r="DA329" s="42">
        <f>IF(CZ329&lt;0,0,IF(CZ329="无数据/数据缺失",0,IF('基本数据输入&amp;测算结果'!$C$20*CY329&gt;CZ329,CZ329/'基本数据输入&amp;测算结果'!$C$20*CY329,CY329)))</f>
        <v>0</v>
      </c>
      <c r="DB329" s="49">
        <f t="shared" si="13"/>
        <v>0</v>
      </c>
      <c r="DC329" s="50"/>
      <c r="DD329" s="50"/>
    </row>
    <row r="330" customHeight="1" spans="1:108">
      <c r="A330" s="52" t="s">
        <v>372</v>
      </c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  <c r="AH330" s="51"/>
      <c r="AI330" s="51"/>
      <c r="AJ330" s="51"/>
      <c r="AK330" s="51"/>
      <c r="AL330" s="51"/>
      <c r="AM330" s="51"/>
      <c r="AN330" s="51"/>
      <c r="AO330" s="51"/>
      <c r="AP330" s="51"/>
      <c r="AQ330" s="51"/>
      <c r="AR330" s="51"/>
      <c r="AS330" s="51"/>
      <c r="AT330" s="51"/>
      <c r="AU330" s="51"/>
      <c r="AV330" s="51"/>
      <c r="AW330" s="51"/>
      <c r="AX330" s="51"/>
      <c r="AY330" s="51"/>
      <c r="AZ330" s="51"/>
      <c r="BA330" s="51"/>
      <c r="BB330" s="51"/>
      <c r="BC330" s="51"/>
      <c r="BD330" s="51"/>
      <c r="BE330" s="51"/>
      <c r="BF330" s="51"/>
      <c r="BG330" s="51"/>
      <c r="BH330" s="51"/>
      <c r="BI330" s="51"/>
      <c r="BJ330" s="51"/>
      <c r="BK330" s="51"/>
      <c r="BL330" s="51"/>
      <c r="BM330" s="51"/>
      <c r="BN330" s="51"/>
      <c r="BO330" s="51"/>
      <c r="BP330" s="51"/>
      <c r="BQ330" s="51"/>
      <c r="BR330" s="51"/>
      <c r="BS330" s="51"/>
      <c r="BT330" s="51"/>
      <c r="BU330" s="51"/>
      <c r="BV330" s="51"/>
      <c r="BW330" s="51"/>
      <c r="BX330" s="51"/>
      <c r="BY330" s="51"/>
      <c r="BZ330" s="51"/>
      <c r="CA330" s="51"/>
      <c r="CB330" s="51"/>
      <c r="CC330" s="51"/>
      <c r="CD330" s="51"/>
      <c r="CE330" s="51"/>
      <c r="CF330" s="51"/>
      <c r="CG330" s="51"/>
      <c r="CH330" s="51"/>
      <c r="CI330" s="51"/>
      <c r="CJ330" s="51"/>
      <c r="CK330" s="51"/>
      <c r="CL330" s="51"/>
      <c r="CM330" s="51"/>
      <c r="CN330" s="51"/>
      <c r="CO330" s="51"/>
      <c r="CP330" s="51"/>
      <c r="CQ330" s="51"/>
      <c r="CR330" s="51"/>
      <c r="CS330" s="51"/>
      <c r="CT330" s="42" t="str">
        <f>IFERROR(('基本数据输入&amp;测算结果'!$C$19*7-AVERAGE(B330:Y330,CP330:CS330)*7-'基本数据输入&amp;测算结果'!$C$23*7)/'基本数据输入&amp;测算结果'!$C$21*'基本数据输入&amp;测算结果'!$C$22,"无数据/数据缺失")</f>
        <v>无数据/数据缺失</v>
      </c>
      <c r="CU330" s="42">
        <f>IF(CT330&lt;0,0,IF(CT330="无数据/数据缺失",0%,IF(CT330&gt;'基本数据输入&amp;测算结果'!$C$20,100%,CT330/'基本数据输入&amp;测算结果'!$C$20)))</f>
        <v>0</v>
      </c>
      <c r="CV330" s="42" t="str">
        <f>IFERROR((AVERAGE(Z330:AG330)*2-'基本数据输入&amp;测算结果'!$C$24*2)/'基本数据输入&amp;测算结果'!$C$21/'基本数据输入&amp;测算结果'!$C$22,"无数据/数据缺失")</f>
        <v>无数据/数据缺失</v>
      </c>
      <c r="CW330" s="42">
        <f>IF(CV330&lt;0,0,IF(CV330="无数据/数据缺失",0%,IF(CV330&gt;'基本数据输入&amp;测算结果'!$C$20*CU330,CU330,CV330/'基本数据输入&amp;测算结果'!$C$20*CU330)))</f>
        <v>0</v>
      </c>
      <c r="CX330" s="42" t="str">
        <f>IFERROR(('基本数据输入&amp;测算结果'!$C$19*3-AVERAGE(AT330:BE330)*3-'基本数据输入&amp;测算结果'!$C$23*3)/'基本数据输入&amp;测算结果'!$C$21*'基本数据输入&amp;测算结果'!$C$22,"无数据/数据缺失")</f>
        <v>无数据/数据缺失</v>
      </c>
      <c r="CY330" s="42">
        <f>IF(CX330&lt;0,0,IF(CX330="无数据/数据缺失",0%,IF(CX330&gt;'基本数据输入&amp;测算结果'!$C$20,100%,CX330/'基本数据输入&amp;测算结果'!$C$20)))</f>
        <v>0</v>
      </c>
      <c r="CZ330" s="42" t="str">
        <f>IFERROR((AVERAGE(BN330:CK330)*6-'基本数据输入&amp;测算结果'!$C$24*6)/'基本数据输入&amp;测算结果'!$C$21/'基本数据输入&amp;测算结果'!$C$22,"无数据/数据缺失")</f>
        <v>无数据/数据缺失</v>
      </c>
      <c r="DA330" s="42">
        <f>IF(CZ330&lt;0,0,IF(CZ330="无数据/数据缺失",0,IF('基本数据输入&amp;测算结果'!$C$20*CY330&gt;CZ330,CZ330/'基本数据输入&amp;测算结果'!$C$20*CY330,CY330)))</f>
        <v>0</v>
      </c>
      <c r="DB330" s="49">
        <f t="shared" si="13"/>
        <v>0</v>
      </c>
      <c r="DC330" s="50"/>
      <c r="DD330" s="50"/>
    </row>
    <row r="331" customHeight="1" spans="1:108">
      <c r="A331" s="52" t="s">
        <v>373</v>
      </c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1"/>
      <c r="AI331" s="51"/>
      <c r="AJ331" s="51"/>
      <c r="AK331" s="51"/>
      <c r="AL331" s="51"/>
      <c r="AM331" s="51"/>
      <c r="AN331" s="51"/>
      <c r="AO331" s="51"/>
      <c r="AP331" s="51"/>
      <c r="AQ331" s="51"/>
      <c r="AR331" s="51"/>
      <c r="AS331" s="51"/>
      <c r="AT331" s="51"/>
      <c r="AU331" s="51"/>
      <c r="AV331" s="51"/>
      <c r="AW331" s="51"/>
      <c r="AX331" s="51"/>
      <c r="AY331" s="51"/>
      <c r="AZ331" s="51"/>
      <c r="BA331" s="51"/>
      <c r="BB331" s="51"/>
      <c r="BC331" s="51"/>
      <c r="BD331" s="51"/>
      <c r="BE331" s="51"/>
      <c r="BF331" s="51"/>
      <c r="BG331" s="51"/>
      <c r="BH331" s="51"/>
      <c r="BI331" s="51"/>
      <c r="BJ331" s="51"/>
      <c r="BK331" s="51"/>
      <c r="BL331" s="51"/>
      <c r="BM331" s="51"/>
      <c r="BN331" s="51"/>
      <c r="BO331" s="51"/>
      <c r="BP331" s="51"/>
      <c r="BQ331" s="51"/>
      <c r="BR331" s="51"/>
      <c r="BS331" s="51"/>
      <c r="BT331" s="51"/>
      <c r="BU331" s="51"/>
      <c r="BV331" s="51"/>
      <c r="BW331" s="51"/>
      <c r="BX331" s="51"/>
      <c r="BY331" s="51"/>
      <c r="BZ331" s="51"/>
      <c r="CA331" s="51"/>
      <c r="CB331" s="51"/>
      <c r="CC331" s="51"/>
      <c r="CD331" s="51"/>
      <c r="CE331" s="51"/>
      <c r="CF331" s="51"/>
      <c r="CG331" s="51"/>
      <c r="CH331" s="51"/>
      <c r="CI331" s="51"/>
      <c r="CJ331" s="51"/>
      <c r="CK331" s="51"/>
      <c r="CL331" s="51"/>
      <c r="CM331" s="51"/>
      <c r="CN331" s="51"/>
      <c r="CO331" s="51"/>
      <c r="CP331" s="51"/>
      <c r="CQ331" s="51"/>
      <c r="CR331" s="51"/>
      <c r="CS331" s="51"/>
      <c r="CT331" s="42" t="str">
        <f>IFERROR(('基本数据输入&amp;测算结果'!$C$19*7-AVERAGE(B331:Y331,CP331:CS331)*7-'基本数据输入&amp;测算结果'!$C$23*7)/'基本数据输入&amp;测算结果'!$C$21*'基本数据输入&amp;测算结果'!$C$22,"无数据/数据缺失")</f>
        <v>无数据/数据缺失</v>
      </c>
      <c r="CU331" s="42">
        <f>IF(CT331&lt;0,0,IF(CT331="无数据/数据缺失",0%,IF(CT331&gt;'基本数据输入&amp;测算结果'!$C$20,100%,CT331/'基本数据输入&amp;测算结果'!$C$20)))</f>
        <v>0</v>
      </c>
      <c r="CV331" s="42" t="str">
        <f>IFERROR((AVERAGE(Z331:AG331)*2-'基本数据输入&amp;测算结果'!$C$24*2)/'基本数据输入&amp;测算结果'!$C$21/'基本数据输入&amp;测算结果'!$C$22,"无数据/数据缺失")</f>
        <v>无数据/数据缺失</v>
      </c>
      <c r="CW331" s="42">
        <f>IF(CV331&lt;0,0,IF(CV331="无数据/数据缺失",0%,IF(CV331&gt;'基本数据输入&amp;测算结果'!$C$20*CU331,CU331,CV331/'基本数据输入&amp;测算结果'!$C$20*CU331)))</f>
        <v>0</v>
      </c>
      <c r="CX331" s="42" t="str">
        <f>IFERROR(('基本数据输入&amp;测算结果'!$C$19*3-AVERAGE(AT331:BE331)*3-'基本数据输入&amp;测算结果'!$C$23*3)/'基本数据输入&amp;测算结果'!$C$21*'基本数据输入&amp;测算结果'!$C$22,"无数据/数据缺失")</f>
        <v>无数据/数据缺失</v>
      </c>
      <c r="CY331" s="42">
        <f>IF(CX331&lt;0,0,IF(CX331="无数据/数据缺失",0%,IF(CX331&gt;'基本数据输入&amp;测算结果'!$C$20,100%,CX331/'基本数据输入&amp;测算结果'!$C$20)))</f>
        <v>0</v>
      </c>
      <c r="CZ331" s="42" t="str">
        <f>IFERROR((AVERAGE(BN331:CK331)*6-'基本数据输入&amp;测算结果'!$C$24*6)/'基本数据输入&amp;测算结果'!$C$21/'基本数据输入&amp;测算结果'!$C$22,"无数据/数据缺失")</f>
        <v>无数据/数据缺失</v>
      </c>
      <c r="DA331" s="42">
        <f>IF(CZ331&lt;0,0,IF(CZ331="无数据/数据缺失",0,IF('基本数据输入&amp;测算结果'!$C$20*CY331&gt;CZ331,CZ331/'基本数据输入&amp;测算结果'!$C$20*CY331,CY331)))</f>
        <v>0</v>
      </c>
      <c r="DB331" s="49">
        <f t="shared" si="13"/>
        <v>0</v>
      </c>
      <c r="DC331" s="50"/>
      <c r="DD331" s="50"/>
    </row>
    <row r="332" customHeight="1" spans="1:108">
      <c r="A332" s="52" t="s">
        <v>374</v>
      </c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1"/>
      <c r="AI332" s="51"/>
      <c r="AJ332" s="51"/>
      <c r="AK332" s="51"/>
      <c r="AL332" s="51"/>
      <c r="AM332" s="51"/>
      <c r="AN332" s="51"/>
      <c r="AO332" s="51"/>
      <c r="AP332" s="51"/>
      <c r="AQ332" s="51"/>
      <c r="AR332" s="51"/>
      <c r="AS332" s="51"/>
      <c r="AT332" s="51"/>
      <c r="AU332" s="51"/>
      <c r="AV332" s="51"/>
      <c r="AW332" s="51"/>
      <c r="AX332" s="51"/>
      <c r="AY332" s="51"/>
      <c r="AZ332" s="51"/>
      <c r="BA332" s="51"/>
      <c r="BB332" s="51"/>
      <c r="BC332" s="51"/>
      <c r="BD332" s="51"/>
      <c r="BE332" s="51"/>
      <c r="BF332" s="51"/>
      <c r="BG332" s="51"/>
      <c r="BH332" s="51"/>
      <c r="BI332" s="51"/>
      <c r="BJ332" s="51"/>
      <c r="BK332" s="51"/>
      <c r="BL332" s="51"/>
      <c r="BM332" s="51"/>
      <c r="BN332" s="51"/>
      <c r="BO332" s="51"/>
      <c r="BP332" s="51"/>
      <c r="BQ332" s="51"/>
      <c r="BR332" s="51"/>
      <c r="BS332" s="51"/>
      <c r="BT332" s="51"/>
      <c r="BU332" s="51"/>
      <c r="BV332" s="51"/>
      <c r="BW332" s="51"/>
      <c r="BX332" s="51"/>
      <c r="BY332" s="51"/>
      <c r="BZ332" s="51"/>
      <c r="CA332" s="51"/>
      <c r="CB332" s="51"/>
      <c r="CC332" s="51"/>
      <c r="CD332" s="51"/>
      <c r="CE332" s="51"/>
      <c r="CF332" s="51"/>
      <c r="CG332" s="51"/>
      <c r="CH332" s="51"/>
      <c r="CI332" s="51"/>
      <c r="CJ332" s="51"/>
      <c r="CK332" s="51"/>
      <c r="CL332" s="51"/>
      <c r="CM332" s="51"/>
      <c r="CN332" s="51"/>
      <c r="CO332" s="51"/>
      <c r="CP332" s="51"/>
      <c r="CQ332" s="51"/>
      <c r="CR332" s="51"/>
      <c r="CS332" s="51"/>
      <c r="CT332" s="42" t="str">
        <f>IFERROR(('基本数据输入&amp;测算结果'!$C$19*7-AVERAGE(B332:Y332,CP332:CS332)*7-'基本数据输入&amp;测算结果'!$C$23*7)/'基本数据输入&amp;测算结果'!$C$21*'基本数据输入&amp;测算结果'!$C$22,"无数据/数据缺失")</f>
        <v>无数据/数据缺失</v>
      </c>
      <c r="CU332" s="42">
        <f>IF(CT332&lt;0,0,IF(CT332="无数据/数据缺失",0%,IF(CT332&gt;'基本数据输入&amp;测算结果'!$C$20,100%,CT332/'基本数据输入&amp;测算结果'!$C$20)))</f>
        <v>0</v>
      </c>
      <c r="CV332" s="42" t="str">
        <f>IFERROR((AVERAGE(Z332:AG332)*2-'基本数据输入&amp;测算结果'!$C$24*2)/'基本数据输入&amp;测算结果'!$C$21/'基本数据输入&amp;测算结果'!$C$22,"无数据/数据缺失")</f>
        <v>无数据/数据缺失</v>
      </c>
      <c r="CW332" s="42">
        <f>IF(CV332&lt;0,0,IF(CV332="无数据/数据缺失",0%,IF(CV332&gt;'基本数据输入&amp;测算结果'!$C$20*CU332,CU332,CV332/'基本数据输入&amp;测算结果'!$C$20*CU332)))</f>
        <v>0</v>
      </c>
      <c r="CX332" s="42" t="str">
        <f>IFERROR(('基本数据输入&amp;测算结果'!$C$19*3-AVERAGE(AT332:BE332)*3-'基本数据输入&amp;测算结果'!$C$23*3)/'基本数据输入&amp;测算结果'!$C$21*'基本数据输入&amp;测算结果'!$C$22,"无数据/数据缺失")</f>
        <v>无数据/数据缺失</v>
      </c>
      <c r="CY332" s="42">
        <f>IF(CX332&lt;0,0,IF(CX332="无数据/数据缺失",0%,IF(CX332&gt;'基本数据输入&amp;测算结果'!$C$20,100%,CX332/'基本数据输入&amp;测算结果'!$C$20)))</f>
        <v>0</v>
      </c>
      <c r="CZ332" s="42" t="str">
        <f>IFERROR((AVERAGE(BN332:CK332)*6-'基本数据输入&amp;测算结果'!$C$24*6)/'基本数据输入&amp;测算结果'!$C$21/'基本数据输入&amp;测算结果'!$C$22,"无数据/数据缺失")</f>
        <v>无数据/数据缺失</v>
      </c>
      <c r="DA332" s="42">
        <f>IF(CZ332&lt;0,0,IF(CZ332="无数据/数据缺失",0,IF('基本数据输入&amp;测算结果'!$C$20*CY332&gt;CZ332,CZ332/'基本数据输入&amp;测算结果'!$C$20*CY332,CY332)))</f>
        <v>0</v>
      </c>
      <c r="DB332" s="49">
        <f t="shared" si="13"/>
        <v>0</v>
      </c>
      <c r="DC332" s="50"/>
      <c r="DD332" s="50"/>
    </row>
    <row r="333" customHeight="1" spans="1:108">
      <c r="A333" s="52" t="s">
        <v>375</v>
      </c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  <c r="AH333" s="51"/>
      <c r="AI333" s="51"/>
      <c r="AJ333" s="51"/>
      <c r="AK333" s="51"/>
      <c r="AL333" s="51"/>
      <c r="AM333" s="51"/>
      <c r="AN333" s="51"/>
      <c r="AO333" s="51"/>
      <c r="AP333" s="51"/>
      <c r="AQ333" s="51"/>
      <c r="AR333" s="51"/>
      <c r="AS333" s="51"/>
      <c r="AT333" s="51"/>
      <c r="AU333" s="51"/>
      <c r="AV333" s="51"/>
      <c r="AW333" s="51"/>
      <c r="AX333" s="51"/>
      <c r="AY333" s="51"/>
      <c r="AZ333" s="51"/>
      <c r="BA333" s="51"/>
      <c r="BB333" s="51"/>
      <c r="BC333" s="51"/>
      <c r="BD333" s="51"/>
      <c r="BE333" s="51"/>
      <c r="BF333" s="51"/>
      <c r="BG333" s="51"/>
      <c r="BH333" s="51"/>
      <c r="BI333" s="51"/>
      <c r="BJ333" s="51"/>
      <c r="BK333" s="51"/>
      <c r="BL333" s="51"/>
      <c r="BM333" s="51"/>
      <c r="BN333" s="51"/>
      <c r="BO333" s="51"/>
      <c r="BP333" s="51"/>
      <c r="BQ333" s="51"/>
      <c r="BR333" s="51"/>
      <c r="BS333" s="51"/>
      <c r="BT333" s="51"/>
      <c r="BU333" s="51"/>
      <c r="BV333" s="51"/>
      <c r="BW333" s="51"/>
      <c r="BX333" s="51"/>
      <c r="BY333" s="51"/>
      <c r="BZ333" s="51"/>
      <c r="CA333" s="51"/>
      <c r="CB333" s="51"/>
      <c r="CC333" s="51"/>
      <c r="CD333" s="51"/>
      <c r="CE333" s="51"/>
      <c r="CF333" s="51"/>
      <c r="CG333" s="51"/>
      <c r="CH333" s="51"/>
      <c r="CI333" s="51"/>
      <c r="CJ333" s="51"/>
      <c r="CK333" s="51"/>
      <c r="CL333" s="51"/>
      <c r="CM333" s="51"/>
      <c r="CN333" s="51"/>
      <c r="CO333" s="51"/>
      <c r="CP333" s="51"/>
      <c r="CQ333" s="51"/>
      <c r="CR333" s="51"/>
      <c r="CS333" s="51"/>
      <c r="CT333" s="42" t="str">
        <f>IFERROR(('基本数据输入&amp;测算结果'!$C$19*7-AVERAGE(B333:Y333,CP333:CS333)*7-'基本数据输入&amp;测算结果'!$C$23*7)/'基本数据输入&amp;测算结果'!$C$21*'基本数据输入&amp;测算结果'!$C$22,"无数据/数据缺失")</f>
        <v>无数据/数据缺失</v>
      </c>
      <c r="CU333" s="42">
        <f>IF(CT333&lt;0,0,IF(CT333="无数据/数据缺失",0%,IF(CT333&gt;'基本数据输入&amp;测算结果'!$C$20,100%,CT333/'基本数据输入&amp;测算结果'!$C$20)))</f>
        <v>0</v>
      </c>
      <c r="CV333" s="42" t="str">
        <f>IFERROR((AVERAGE(Z333:AG333)*2-'基本数据输入&amp;测算结果'!$C$24*2)/'基本数据输入&amp;测算结果'!$C$21/'基本数据输入&amp;测算结果'!$C$22,"无数据/数据缺失")</f>
        <v>无数据/数据缺失</v>
      </c>
      <c r="CW333" s="42">
        <f>IF(CV333&lt;0,0,IF(CV333="无数据/数据缺失",0%,IF(CV333&gt;'基本数据输入&amp;测算结果'!$C$20*CU333,CU333,CV333/'基本数据输入&amp;测算结果'!$C$20*CU333)))</f>
        <v>0</v>
      </c>
      <c r="CX333" s="42" t="str">
        <f>IFERROR(('基本数据输入&amp;测算结果'!$C$19*3-AVERAGE(AT333:BE333)*3-'基本数据输入&amp;测算结果'!$C$23*3)/'基本数据输入&amp;测算结果'!$C$21*'基本数据输入&amp;测算结果'!$C$22,"无数据/数据缺失")</f>
        <v>无数据/数据缺失</v>
      </c>
      <c r="CY333" s="42">
        <f>IF(CX333&lt;0,0,IF(CX333="无数据/数据缺失",0%,IF(CX333&gt;'基本数据输入&amp;测算结果'!$C$20,100%,CX333/'基本数据输入&amp;测算结果'!$C$20)))</f>
        <v>0</v>
      </c>
      <c r="CZ333" s="42" t="str">
        <f>IFERROR((AVERAGE(BN333:CK333)*6-'基本数据输入&amp;测算结果'!$C$24*6)/'基本数据输入&amp;测算结果'!$C$21/'基本数据输入&amp;测算结果'!$C$22,"无数据/数据缺失")</f>
        <v>无数据/数据缺失</v>
      </c>
      <c r="DA333" s="42">
        <f>IF(CZ333&lt;0,0,IF(CZ333="无数据/数据缺失",0,IF('基本数据输入&amp;测算结果'!$C$20*CY333&gt;CZ333,CZ333/'基本数据输入&amp;测算结果'!$C$20*CY333,CY333)))</f>
        <v>0</v>
      </c>
      <c r="DB333" s="49">
        <f t="shared" si="13"/>
        <v>0</v>
      </c>
      <c r="DC333" s="50"/>
      <c r="DD333" s="50"/>
    </row>
    <row r="334" customHeight="1" spans="1:108">
      <c r="A334" s="52" t="s">
        <v>376</v>
      </c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  <c r="AH334" s="51"/>
      <c r="AI334" s="51"/>
      <c r="AJ334" s="51"/>
      <c r="AK334" s="51"/>
      <c r="AL334" s="51"/>
      <c r="AM334" s="51"/>
      <c r="AN334" s="51"/>
      <c r="AO334" s="51"/>
      <c r="AP334" s="51"/>
      <c r="AQ334" s="51"/>
      <c r="AR334" s="51"/>
      <c r="AS334" s="51"/>
      <c r="AT334" s="51"/>
      <c r="AU334" s="51"/>
      <c r="AV334" s="51"/>
      <c r="AW334" s="51"/>
      <c r="AX334" s="51"/>
      <c r="AY334" s="51"/>
      <c r="AZ334" s="51"/>
      <c r="BA334" s="51"/>
      <c r="BB334" s="51"/>
      <c r="BC334" s="51"/>
      <c r="BD334" s="51"/>
      <c r="BE334" s="51"/>
      <c r="BF334" s="51"/>
      <c r="BG334" s="51"/>
      <c r="BH334" s="51"/>
      <c r="BI334" s="51"/>
      <c r="BJ334" s="51"/>
      <c r="BK334" s="51"/>
      <c r="BL334" s="51"/>
      <c r="BM334" s="51"/>
      <c r="BN334" s="51"/>
      <c r="BO334" s="51"/>
      <c r="BP334" s="51"/>
      <c r="BQ334" s="51"/>
      <c r="BR334" s="51"/>
      <c r="BS334" s="51"/>
      <c r="BT334" s="51"/>
      <c r="BU334" s="51"/>
      <c r="BV334" s="51"/>
      <c r="BW334" s="51"/>
      <c r="BX334" s="51"/>
      <c r="BY334" s="51"/>
      <c r="BZ334" s="51"/>
      <c r="CA334" s="51"/>
      <c r="CB334" s="51"/>
      <c r="CC334" s="51"/>
      <c r="CD334" s="51"/>
      <c r="CE334" s="51"/>
      <c r="CF334" s="51"/>
      <c r="CG334" s="51"/>
      <c r="CH334" s="51"/>
      <c r="CI334" s="51"/>
      <c r="CJ334" s="51"/>
      <c r="CK334" s="51"/>
      <c r="CL334" s="51"/>
      <c r="CM334" s="51"/>
      <c r="CN334" s="51"/>
      <c r="CO334" s="51"/>
      <c r="CP334" s="51"/>
      <c r="CQ334" s="51"/>
      <c r="CR334" s="51"/>
      <c r="CS334" s="51"/>
      <c r="CT334" s="42" t="str">
        <f>IFERROR(('基本数据输入&amp;测算结果'!$C$19*7-AVERAGE(B334:Y334,CP334:CS334)*7-'基本数据输入&amp;测算结果'!$C$23*7)/'基本数据输入&amp;测算结果'!$C$21*'基本数据输入&amp;测算结果'!$C$22,"无数据/数据缺失")</f>
        <v>无数据/数据缺失</v>
      </c>
      <c r="CU334" s="42">
        <f>IF(CT334&lt;0,0,IF(CT334="无数据/数据缺失",0%,IF(CT334&gt;'基本数据输入&amp;测算结果'!$C$20,100%,CT334/'基本数据输入&amp;测算结果'!$C$20)))</f>
        <v>0</v>
      </c>
      <c r="CV334" s="42" t="str">
        <f>IFERROR((AVERAGE(Z334:AG334)*2-'基本数据输入&amp;测算结果'!$C$24*2)/'基本数据输入&amp;测算结果'!$C$21/'基本数据输入&amp;测算结果'!$C$22,"无数据/数据缺失")</f>
        <v>无数据/数据缺失</v>
      </c>
      <c r="CW334" s="42">
        <f>IF(CV334&lt;0,0,IF(CV334="无数据/数据缺失",0%,IF(CV334&gt;'基本数据输入&amp;测算结果'!$C$20*CU334,CU334,CV334/'基本数据输入&amp;测算结果'!$C$20*CU334)))</f>
        <v>0</v>
      </c>
      <c r="CX334" s="42" t="str">
        <f>IFERROR(('基本数据输入&amp;测算结果'!$C$19*3-AVERAGE(AT334:BE334)*3-'基本数据输入&amp;测算结果'!$C$23*3)/'基本数据输入&amp;测算结果'!$C$21*'基本数据输入&amp;测算结果'!$C$22,"无数据/数据缺失")</f>
        <v>无数据/数据缺失</v>
      </c>
      <c r="CY334" s="42">
        <f>IF(CX334&lt;0,0,IF(CX334="无数据/数据缺失",0%,IF(CX334&gt;'基本数据输入&amp;测算结果'!$C$20,100%,CX334/'基本数据输入&amp;测算结果'!$C$20)))</f>
        <v>0</v>
      </c>
      <c r="CZ334" s="42" t="str">
        <f>IFERROR((AVERAGE(BN334:CK334)*6-'基本数据输入&amp;测算结果'!$C$24*6)/'基本数据输入&amp;测算结果'!$C$21/'基本数据输入&amp;测算结果'!$C$22,"无数据/数据缺失")</f>
        <v>无数据/数据缺失</v>
      </c>
      <c r="DA334" s="42">
        <f>IF(CZ334&lt;0,0,IF(CZ334="无数据/数据缺失",0,IF('基本数据输入&amp;测算结果'!$C$20*CY334&gt;CZ334,CZ334/'基本数据输入&amp;测算结果'!$C$20*CY334,CY334)))</f>
        <v>0</v>
      </c>
      <c r="DB334" s="49">
        <f t="shared" si="13"/>
        <v>0</v>
      </c>
      <c r="DC334" s="50"/>
      <c r="DD334" s="50"/>
    </row>
    <row r="335" s="42" customFormat="1" customHeight="1" spans="1:108">
      <c r="A335" s="52" t="s">
        <v>377</v>
      </c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  <c r="AG335" s="51"/>
      <c r="AH335" s="51"/>
      <c r="AI335" s="51"/>
      <c r="AJ335" s="51"/>
      <c r="AK335" s="51"/>
      <c r="AL335" s="51"/>
      <c r="AM335" s="51"/>
      <c r="AN335" s="51"/>
      <c r="AO335" s="51"/>
      <c r="AP335" s="51"/>
      <c r="AQ335" s="51"/>
      <c r="AR335" s="51"/>
      <c r="AS335" s="51"/>
      <c r="AT335" s="51"/>
      <c r="AU335" s="51"/>
      <c r="AV335" s="51"/>
      <c r="AW335" s="51"/>
      <c r="AX335" s="51"/>
      <c r="AY335" s="51"/>
      <c r="AZ335" s="51"/>
      <c r="BA335" s="51"/>
      <c r="BB335" s="51"/>
      <c r="BC335" s="51"/>
      <c r="BD335" s="51"/>
      <c r="BE335" s="51"/>
      <c r="BF335" s="51"/>
      <c r="BG335" s="51"/>
      <c r="BH335" s="51"/>
      <c r="BI335" s="51"/>
      <c r="BJ335" s="51"/>
      <c r="BK335" s="51"/>
      <c r="BL335" s="51"/>
      <c r="BM335" s="51"/>
      <c r="BN335" s="51"/>
      <c r="BO335" s="51"/>
      <c r="BP335" s="51"/>
      <c r="BQ335" s="51"/>
      <c r="BR335" s="51"/>
      <c r="BS335" s="51"/>
      <c r="BT335" s="51"/>
      <c r="BU335" s="51"/>
      <c r="BV335" s="51"/>
      <c r="BW335" s="51"/>
      <c r="BX335" s="51"/>
      <c r="BY335" s="51"/>
      <c r="BZ335" s="51"/>
      <c r="CA335" s="51"/>
      <c r="CB335" s="51"/>
      <c r="CC335" s="51"/>
      <c r="CD335" s="51"/>
      <c r="CE335" s="51"/>
      <c r="CF335" s="51"/>
      <c r="CG335" s="51"/>
      <c r="CH335" s="51"/>
      <c r="CI335" s="51"/>
      <c r="CJ335" s="51"/>
      <c r="CK335" s="51"/>
      <c r="CL335" s="51"/>
      <c r="CM335" s="51"/>
      <c r="CN335" s="51"/>
      <c r="CO335" s="51"/>
      <c r="CP335" s="51"/>
      <c r="CQ335" s="51"/>
      <c r="CR335" s="51"/>
      <c r="CS335" s="51"/>
      <c r="CT335" s="42" t="str">
        <f>IFERROR(('基本数据输入&amp;测算结果'!$C$19*7-AVERAGE(B335:Y335,CP335:CS335)*7-'基本数据输入&amp;测算结果'!$C$23*7)/'基本数据输入&amp;测算结果'!$C$21*'基本数据输入&amp;测算结果'!$C$22,"无数据/数据缺失")</f>
        <v>无数据/数据缺失</v>
      </c>
      <c r="CU335" s="42">
        <f>IF(CT335&lt;0,0,IF(CT335="无数据/数据缺失",0%,IF(CT335&gt;'基本数据输入&amp;测算结果'!$C$20,100%,CT335/'基本数据输入&amp;测算结果'!$C$20)))</f>
        <v>0</v>
      </c>
      <c r="CV335" s="42" t="str">
        <f>IFERROR((AVERAGE(Z335:AG335)*2-'基本数据输入&amp;测算结果'!$C$24*2)/'基本数据输入&amp;测算结果'!$C$21/'基本数据输入&amp;测算结果'!$C$22,"无数据/数据缺失")</f>
        <v>无数据/数据缺失</v>
      </c>
      <c r="CW335" s="42">
        <f>IF(CV335&lt;0,0,IF(CV335="无数据/数据缺失",0%,IF(CV335&gt;'基本数据输入&amp;测算结果'!$C$20*CU335,CU335,CV335/'基本数据输入&amp;测算结果'!$C$20*CU335)))</f>
        <v>0</v>
      </c>
      <c r="CX335" s="42" t="str">
        <f>IFERROR(('基本数据输入&amp;测算结果'!$C$19*3-AVERAGE(AT335:BE335)*3-'基本数据输入&amp;测算结果'!$C$23*3)/'基本数据输入&amp;测算结果'!$C$21*'基本数据输入&amp;测算结果'!$C$22,"无数据/数据缺失")</f>
        <v>无数据/数据缺失</v>
      </c>
      <c r="CY335" s="42">
        <f>IF(CX335&lt;0,0,IF(CX335="无数据/数据缺失",0%,IF(CX335&gt;'基本数据输入&amp;测算结果'!$C$20,100%,CX335/'基本数据输入&amp;测算结果'!$C$20)))</f>
        <v>0</v>
      </c>
      <c r="CZ335" s="42" t="str">
        <f>IFERROR((AVERAGE(BN335:CK335)*6-'基本数据输入&amp;测算结果'!$C$24*6)/'基本数据输入&amp;测算结果'!$C$21/'基本数据输入&amp;测算结果'!$C$22,"无数据/数据缺失")</f>
        <v>无数据/数据缺失</v>
      </c>
      <c r="DA335" s="42">
        <f>IF(CZ335&lt;0,0,IF(CZ335="无数据/数据缺失",0,IF('基本数据输入&amp;测算结果'!$C$20*CY335&gt;CZ335,CZ335/'基本数据输入&amp;测算结果'!$C$20*CY335,CY335)))</f>
        <v>0</v>
      </c>
      <c r="DB335" s="49">
        <f t="shared" si="13"/>
        <v>0</v>
      </c>
      <c r="DC335" s="50"/>
      <c r="DD335" s="50"/>
    </row>
    <row r="336" customHeight="1" spans="1:108">
      <c r="A336" s="54" t="s">
        <v>378</v>
      </c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  <c r="AG336" s="51"/>
      <c r="AH336" s="51"/>
      <c r="AI336" s="51"/>
      <c r="AJ336" s="51"/>
      <c r="AK336" s="51"/>
      <c r="AL336" s="51"/>
      <c r="AM336" s="51"/>
      <c r="AN336" s="51"/>
      <c r="AO336" s="51"/>
      <c r="AP336" s="51"/>
      <c r="AQ336" s="51"/>
      <c r="AR336" s="51"/>
      <c r="AS336" s="51"/>
      <c r="AT336" s="51"/>
      <c r="AU336" s="51"/>
      <c r="AV336" s="51"/>
      <c r="AW336" s="51"/>
      <c r="AX336" s="51"/>
      <c r="AY336" s="51"/>
      <c r="AZ336" s="51"/>
      <c r="BA336" s="51"/>
      <c r="BB336" s="51"/>
      <c r="BC336" s="51"/>
      <c r="BD336" s="51"/>
      <c r="BE336" s="51"/>
      <c r="BF336" s="51"/>
      <c r="BG336" s="51"/>
      <c r="BH336" s="51"/>
      <c r="BI336" s="51"/>
      <c r="BJ336" s="51"/>
      <c r="BK336" s="51"/>
      <c r="BL336" s="51"/>
      <c r="BM336" s="51"/>
      <c r="BN336" s="51"/>
      <c r="BO336" s="51"/>
      <c r="BP336" s="51"/>
      <c r="BQ336" s="51"/>
      <c r="BR336" s="51"/>
      <c r="BS336" s="51"/>
      <c r="BT336" s="51"/>
      <c r="BU336" s="51"/>
      <c r="BV336" s="51"/>
      <c r="BW336" s="51"/>
      <c r="BX336" s="51"/>
      <c r="BY336" s="51"/>
      <c r="BZ336" s="51"/>
      <c r="CA336" s="51"/>
      <c r="CB336" s="51"/>
      <c r="CC336" s="51"/>
      <c r="CD336" s="51"/>
      <c r="CE336" s="51"/>
      <c r="CF336" s="51"/>
      <c r="CG336" s="51"/>
      <c r="CH336" s="51"/>
      <c r="CI336" s="51"/>
      <c r="CJ336" s="51"/>
      <c r="CK336" s="51"/>
      <c r="CL336" s="51"/>
      <c r="CM336" s="51"/>
      <c r="CN336" s="51"/>
      <c r="CO336" s="51"/>
      <c r="CP336" s="51"/>
      <c r="CQ336" s="51"/>
      <c r="CR336" s="51"/>
      <c r="CS336" s="51"/>
      <c r="CT336" s="42" t="str">
        <f>IFERROR(('基本数据输入&amp;测算结果'!$C$19*7-AVERAGE(B336:Y336,CP336:CS336)*7-'基本数据输入&amp;测算结果'!$C$23*7)/'基本数据输入&amp;测算结果'!$C$21*'基本数据输入&amp;测算结果'!$C$22,"无数据/数据缺失")</f>
        <v>无数据/数据缺失</v>
      </c>
      <c r="CU336" s="42">
        <f>IF(CT336&lt;0,0,IF(CT336="无数据/数据缺失",0%,IF(CT336&gt;'基本数据输入&amp;测算结果'!$C$20,100%,CT336/'基本数据输入&amp;测算结果'!$C$20)))</f>
        <v>0</v>
      </c>
      <c r="CV336" s="42" t="str">
        <f>IFERROR((AVERAGE(Z336:AW336)*6-'基本数据输入&amp;测算结果'!$C$24*6)/'基本数据输入&amp;测算结果'!$C$21/'基本数据输入&amp;测算结果'!$C$22,"无数据/数据缺失")</f>
        <v>无数据/数据缺失</v>
      </c>
      <c r="CW336" s="42">
        <f>IF(CV336&lt;0,0,IF(CV336="无数据/数据缺失",0%,IF(CV336&gt;'基本数据输入&amp;测算结果'!$C$20*CU336,CU336,CV336/'基本数据输入&amp;测算结果'!$C$20*CU336)))</f>
        <v>0</v>
      </c>
      <c r="CX336" s="42" t="str">
        <f>IFERROR(('基本数据输入&amp;测算结果'!$C$19*2-AVERAGE(AX336:BE336)*2-'基本数据输入&amp;测算结果'!$C$23*2)/'基本数据输入&amp;测算结果'!$C$21*'基本数据输入&amp;测算结果'!$C$22,"无数据/数据缺失")</f>
        <v>无数据/数据缺失</v>
      </c>
      <c r="CY336" s="42">
        <f>IF(CX336&lt;0,0,IF(CX336="无数据/数据缺失",0%,IF(CX336&gt;'基本数据输入&amp;测算结果'!$C$20,100%,CX336/'基本数据输入&amp;测算结果'!$C$20)))</f>
        <v>0</v>
      </c>
      <c r="CZ336" s="42" t="str">
        <f>IFERROR((AVERAGE(BJ336:CO336)*8-'基本数据输入&amp;测算结果'!$C$24*8)/'基本数据输入&amp;测算结果'!$C$21/'基本数据输入&amp;测算结果'!$C$22,"无数据/数据缺失")</f>
        <v>无数据/数据缺失</v>
      </c>
      <c r="DA336" s="42">
        <f>IF(CZ336&lt;0,0,IF(CZ336="无数据/数据缺失",0,IF('基本数据输入&amp;测算结果'!$C$20*CY336&gt;CZ336,CZ336/'基本数据输入&amp;测算结果'!$C$20*CY336,CY336)))</f>
        <v>0</v>
      </c>
      <c r="DB336" s="49">
        <f t="shared" ref="DB336:DB366" si="14">MIN(CU336,CW336)+MIN(CY336,DA336)</f>
        <v>0</v>
      </c>
      <c r="DC336" s="50"/>
      <c r="DD336" s="50"/>
    </row>
    <row r="337" customHeight="1" spans="1:108">
      <c r="A337" s="54" t="s">
        <v>379</v>
      </c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1"/>
      <c r="AI337" s="51"/>
      <c r="AJ337" s="51"/>
      <c r="AK337" s="51"/>
      <c r="AL337" s="51"/>
      <c r="AM337" s="51"/>
      <c r="AN337" s="51"/>
      <c r="AO337" s="51"/>
      <c r="AP337" s="51"/>
      <c r="AQ337" s="51"/>
      <c r="AR337" s="51"/>
      <c r="AS337" s="51"/>
      <c r="AT337" s="51"/>
      <c r="AU337" s="51"/>
      <c r="AV337" s="51"/>
      <c r="AW337" s="51"/>
      <c r="AX337" s="51"/>
      <c r="AY337" s="51"/>
      <c r="AZ337" s="51"/>
      <c r="BA337" s="51"/>
      <c r="BB337" s="51"/>
      <c r="BC337" s="51"/>
      <c r="BD337" s="51"/>
      <c r="BE337" s="51"/>
      <c r="BF337" s="51"/>
      <c r="BG337" s="51"/>
      <c r="BH337" s="51"/>
      <c r="BI337" s="51"/>
      <c r="BJ337" s="51"/>
      <c r="BK337" s="51"/>
      <c r="BL337" s="51"/>
      <c r="BM337" s="51"/>
      <c r="BN337" s="51"/>
      <c r="BO337" s="51"/>
      <c r="BP337" s="51"/>
      <c r="BQ337" s="51"/>
      <c r="BR337" s="51"/>
      <c r="BS337" s="51"/>
      <c r="BT337" s="51"/>
      <c r="BU337" s="51"/>
      <c r="BV337" s="51"/>
      <c r="BW337" s="51"/>
      <c r="BX337" s="51"/>
      <c r="BY337" s="51"/>
      <c r="BZ337" s="51"/>
      <c r="CA337" s="51"/>
      <c r="CB337" s="51"/>
      <c r="CC337" s="51"/>
      <c r="CD337" s="51"/>
      <c r="CE337" s="51"/>
      <c r="CF337" s="51"/>
      <c r="CG337" s="51"/>
      <c r="CH337" s="51"/>
      <c r="CI337" s="51"/>
      <c r="CJ337" s="51"/>
      <c r="CK337" s="51"/>
      <c r="CL337" s="51"/>
      <c r="CM337" s="51"/>
      <c r="CN337" s="51"/>
      <c r="CO337" s="51"/>
      <c r="CP337" s="51"/>
      <c r="CQ337" s="51"/>
      <c r="CR337" s="51"/>
      <c r="CS337" s="51"/>
      <c r="CT337" s="42" t="str">
        <f>IFERROR(('基本数据输入&amp;测算结果'!$C$19*7-AVERAGE(B337:Y337,CP337:CS337)*7-'基本数据输入&amp;测算结果'!$C$23*7)/'基本数据输入&amp;测算结果'!$C$21*'基本数据输入&amp;测算结果'!$C$22,"无数据/数据缺失")</f>
        <v>无数据/数据缺失</v>
      </c>
      <c r="CU337" s="42">
        <f>IF(CT337&lt;0,0,IF(CT337="无数据/数据缺失",0%,IF(CT337&gt;'基本数据输入&amp;测算结果'!$C$20,100%,CT337/'基本数据输入&amp;测算结果'!$C$20)))</f>
        <v>0</v>
      </c>
      <c r="CV337" s="42" t="str">
        <f>IFERROR((AVERAGE(Z337:AW337)*6-'基本数据输入&amp;测算结果'!$C$24*6)/'基本数据输入&amp;测算结果'!$C$21/'基本数据输入&amp;测算结果'!$C$22,"无数据/数据缺失")</f>
        <v>无数据/数据缺失</v>
      </c>
      <c r="CW337" s="42">
        <f>IF(CV337&lt;0,0,IF(CV337="无数据/数据缺失",0%,IF(CV337&gt;'基本数据输入&amp;测算结果'!$C$20*CU337,CU337,CV337/'基本数据输入&amp;测算结果'!$C$20*CU337)))</f>
        <v>0</v>
      </c>
      <c r="CX337" s="42" t="str">
        <f>IFERROR(('基本数据输入&amp;测算结果'!$C$19*2-AVERAGE(AX337:BE337)*2-'基本数据输入&amp;测算结果'!$C$23*2)/'基本数据输入&amp;测算结果'!$C$21*'基本数据输入&amp;测算结果'!$C$22,"无数据/数据缺失")</f>
        <v>无数据/数据缺失</v>
      </c>
      <c r="CY337" s="42">
        <f>IF(CX337&lt;0,0,IF(CX337="无数据/数据缺失",0%,IF(CX337&gt;'基本数据输入&amp;测算结果'!$C$20,100%,CX337/'基本数据输入&amp;测算结果'!$C$20)))</f>
        <v>0</v>
      </c>
      <c r="CZ337" s="42" t="str">
        <f>IFERROR((AVERAGE(BJ337:CO337)*8-'基本数据输入&amp;测算结果'!$C$24*8)/'基本数据输入&amp;测算结果'!$C$21/'基本数据输入&amp;测算结果'!$C$22,"无数据/数据缺失")</f>
        <v>无数据/数据缺失</v>
      </c>
      <c r="DA337" s="42">
        <f>IF(CZ337&lt;0,0,IF(CZ337="无数据/数据缺失",0,IF('基本数据输入&amp;测算结果'!$C$20*CY337&gt;CZ337,CZ337/'基本数据输入&amp;测算结果'!$C$20*CY337,CY337)))</f>
        <v>0</v>
      </c>
      <c r="DB337" s="49">
        <f t="shared" si="14"/>
        <v>0</v>
      </c>
      <c r="DC337" s="50"/>
      <c r="DD337" s="50"/>
    </row>
    <row r="338" customHeight="1" spans="1:108">
      <c r="A338" s="54" t="s">
        <v>380</v>
      </c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1"/>
      <c r="AI338" s="51"/>
      <c r="AJ338" s="51"/>
      <c r="AK338" s="51"/>
      <c r="AL338" s="51"/>
      <c r="AM338" s="51"/>
      <c r="AN338" s="51"/>
      <c r="AO338" s="51"/>
      <c r="AP338" s="51"/>
      <c r="AQ338" s="51"/>
      <c r="AR338" s="51"/>
      <c r="AS338" s="51"/>
      <c r="AT338" s="51"/>
      <c r="AU338" s="51"/>
      <c r="AV338" s="51"/>
      <c r="AW338" s="51"/>
      <c r="AX338" s="51"/>
      <c r="AY338" s="51"/>
      <c r="AZ338" s="51"/>
      <c r="BA338" s="51"/>
      <c r="BB338" s="51"/>
      <c r="BC338" s="51"/>
      <c r="BD338" s="51"/>
      <c r="BE338" s="51"/>
      <c r="BF338" s="51"/>
      <c r="BG338" s="51"/>
      <c r="BH338" s="51"/>
      <c r="BI338" s="51"/>
      <c r="BJ338" s="51"/>
      <c r="BK338" s="51"/>
      <c r="BL338" s="51"/>
      <c r="BM338" s="51"/>
      <c r="BN338" s="51"/>
      <c r="BO338" s="51"/>
      <c r="BP338" s="51"/>
      <c r="BQ338" s="51"/>
      <c r="BR338" s="51"/>
      <c r="BS338" s="51"/>
      <c r="BT338" s="51"/>
      <c r="BU338" s="51"/>
      <c r="BV338" s="51"/>
      <c r="BW338" s="51"/>
      <c r="BX338" s="51"/>
      <c r="BY338" s="51"/>
      <c r="BZ338" s="51"/>
      <c r="CA338" s="51"/>
      <c r="CB338" s="51"/>
      <c r="CC338" s="51"/>
      <c r="CD338" s="51"/>
      <c r="CE338" s="51"/>
      <c r="CF338" s="51"/>
      <c r="CG338" s="51"/>
      <c r="CH338" s="51"/>
      <c r="CI338" s="51"/>
      <c r="CJ338" s="51"/>
      <c r="CK338" s="51"/>
      <c r="CL338" s="51"/>
      <c r="CM338" s="51"/>
      <c r="CN338" s="51"/>
      <c r="CO338" s="51"/>
      <c r="CP338" s="51"/>
      <c r="CQ338" s="51"/>
      <c r="CR338" s="51"/>
      <c r="CS338" s="51"/>
      <c r="CT338" s="42" t="str">
        <f>IFERROR(('基本数据输入&amp;测算结果'!$C$19*7-AVERAGE(B338:Y338,CP338:CS338)*7-'基本数据输入&amp;测算结果'!$C$23*7)/'基本数据输入&amp;测算结果'!$C$21*'基本数据输入&amp;测算结果'!$C$22,"无数据/数据缺失")</f>
        <v>无数据/数据缺失</v>
      </c>
      <c r="CU338" s="42">
        <f>IF(CT338&lt;0,0,IF(CT338="无数据/数据缺失",0%,IF(CT338&gt;'基本数据输入&amp;测算结果'!$C$20,100%,CT338/'基本数据输入&amp;测算结果'!$C$20)))</f>
        <v>0</v>
      </c>
      <c r="CV338" s="42" t="str">
        <f>IFERROR((AVERAGE(Z338:AW338)*6-'基本数据输入&amp;测算结果'!$C$24*6)/'基本数据输入&amp;测算结果'!$C$21/'基本数据输入&amp;测算结果'!$C$22,"无数据/数据缺失")</f>
        <v>无数据/数据缺失</v>
      </c>
      <c r="CW338" s="42">
        <f>IF(CV338&lt;0,0,IF(CV338="无数据/数据缺失",0%,IF(CV338&gt;'基本数据输入&amp;测算结果'!$C$20*CU338,CU338,CV338/'基本数据输入&amp;测算结果'!$C$20*CU338)))</f>
        <v>0</v>
      </c>
      <c r="CX338" s="42" t="str">
        <f>IFERROR(('基本数据输入&amp;测算结果'!$C$19*2-AVERAGE(AX338:BE338)*2-'基本数据输入&amp;测算结果'!$C$23*2)/'基本数据输入&amp;测算结果'!$C$21*'基本数据输入&amp;测算结果'!$C$22,"无数据/数据缺失")</f>
        <v>无数据/数据缺失</v>
      </c>
      <c r="CY338" s="42">
        <f>IF(CX338&lt;0,0,IF(CX338="无数据/数据缺失",0%,IF(CX338&gt;'基本数据输入&amp;测算结果'!$C$20,100%,CX338/'基本数据输入&amp;测算结果'!$C$20)))</f>
        <v>0</v>
      </c>
      <c r="CZ338" s="42" t="str">
        <f>IFERROR((AVERAGE(BJ338:CO338)*8-'基本数据输入&amp;测算结果'!$C$24*8)/'基本数据输入&amp;测算结果'!$C$21/'基本数据输入&amp;测算结果'!$C$22,"无数据/数据缺失")</f>
        <v>无数据/数据缺失</v>
      </c>
      <c r="DA338" s="42">
        <f>IF(CZ338&lt;0,0,IF(CZ338="无数据/数据缺失",0,IF('基本数据输入&amp;测算结果'!$C$20*CY338&gt;CZ338,CZ338/'基本数据输入&amp;测算结果'!$C$20*CY338,CY338)))</f>
        <v>0</v>
      </c>
      <c r="DB338" s="49">
        <f t="shared" si="14"/>
        <v>0</v>
      </c>
      <c r="DC338" s="50"/>
      <c r="DD338" s="50"/>
    </row>
    <row r="339" customHeight="1" spans="1:108">
      <c r="A339" s="54" t="s">
        <v>381</v>
      </c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1"/>
      <c r="AI339" s="51"/>
      <c r="AJ339" s="51"/>
      <c r="AK339" s="51"/>
      <c r="AL339" s="51"/>
      <c r="AM339" s="51"/>
      <c r="AN339" s="51"/>
      <c r="AO339" s="51"/>
      <c r="AP339" s="51"/>
      <c r="AQ339" s="51"/>
      <c r="AR339" s="51"/>
      <c r="AS339" s="51"/>
      <c r="AT339" s="51"/>
      <c r="AU339" s="51"/>
      <c r="AV339" s="51"/>
      <c r="AW339" s="51"/>
      <c r="AX339" s="51"/>
      <c r="AY339" s="51"/>
      <c r="AZ339" s="51"/>
      <c r="BA339" s="51"/>
      <c r="BB339" s="51"/>
      <c r="BC339" s="51"/>
      <c r="BD339" s="51"/>
      <c r="BE339" s="51"/>
      <c r="BF339" s="51"/>
      <c r="BG339" s="51"/>
      <c r="BH339" s="51"/>
      <c r="BI339" s="51"/>
      <c r="BJ339" s="51"/>
      <c r="BK339" s="51"/>
      <c r="BL339" s="51"/>
      <c r="BM339" s="51"/>
      <c r="BN339" s="51"/>
      <c r="BO339" s="51"/>
      <c r="BP339" s="51"/>
      <c r="BQ339" s="51"/>
      <c r="BR339" s="51"/>
      <c r="BS339" s="51"/>
      <c r="BT339" s="51"/>
      <c r="BU339" s="51"/>
      <c r="BV339" s="51"/>
      <c r="BW339" s="51"/>
      <c r="BX339" s="51"/>
      <c r="BY339" s="51"/>
      <c r="BZ339" s="51"/>
      <c r="CA339" s="51"/>
      <c r="CB339" s="51"/>
      <c r="CC339" s="51"/>
      <c r="CD339" s="51"/>
      <c r="CE339" s="51"/>
      <c r="CF339" s="51"/>
      <c r="CG339" s="51"/>
      <c r="CH339" s="51"/>
      <c r="CI339" s="51"/>
      <c r="CJ339" s="51"/>
      <c r="CK339" s="51"/>
      <c r="CL339" s="51"/>
      <c r="CM339" s="51"/>
      <c r="CN339" s="51"/>
      <c r="CO339" s="51"/>
      <c r="CP339" s="51"/>
      <c r="CQ339" s="51"/>
      <c r="CR339" s="51"/>
      <c r="CS339" s="51"/>
      <c r="CT339" s="42" t="str">
        <f>IFERROR(('基本数据输入&amp;测算结果'!$C$19*7-AVERAGE(B339:Y339,CP339:CS339)*7-'基本数据输入&amp;测算结果'!$C$23*7)/'基本数据输入&amp;测算结果'!$C$21*'基本数据输入&amp;测算结果'!$C$22,"无数据/数据缺失")</f>
        <v>无数据/数据缺失</v>
      </c>
      <c r="CU339" s="42">
        <f>IF(CT339&lt;0,0,IF(CT339="无数据/数据缺失",0%,IF(CT339&gt;'基本数据输入&amp;测算结果'!$C$20,100%,CT339/'基本数据输入&amp;测算结果'!$C$20)))</f>
        <v>0</v>
      </c>
      <c r="CV339" s="42" t="str">
        <f>IFERROR((AVERAGE(Z339:AW339)*6-'基本数据输入&amp;测算结果'!$C$24*6)/'基本数据输入&amp;测算结果'!$C$21/'基本数据输入&amp;测算结果'!$C$22,"无数据/数据缺失")</f>
        <v>无数据/数据缺失</v>
      </c>
      <c r="CW339" s="42">
        <f>IF(CV339&lt;0,0,IF(CV339="无数据/数据缺失",0%,IF(CV339&gt;'基本数据输入&amp;测算结果'!$C$20*CU339,CU339,CV339/'基本数据输入&amp;测算结果'!$C$20*CU339)))</f>
        <v>0</v>
      </c>
      <c r="CX339" s="42" t="str">
        <f>IFERROR(('基本数据输入&amp;测算结果'!$C$19*2-AVERAGE(AX339:BE339)*2-'基本数据输入&amp;测算结果'!$C$23*2)/'基本数据输入&amp;测算结果'!$C$21*'基本数据输入&amp;测算结果'!$C$22,"无数据/数据缺失")</f>
        <v>无数据/数据缺失</v>
      </c>
      <c r="CY339" s="42">
        <f>IF(CX339&lt;0,0,IF(CX339="无数据/数据缺失",0%,IF(CX339&gt;'基本数据输入&amp;测算结果'!$C$20,100%,CX339/'基本数据输入&amp;测算结果'!$C$20)))</f>
        <v>0</v>
      </c>
      <c r="CZ339" s="42" t="str">
        <f>IFERROR((AVERAGE(BJ339:CO339)*8-'基本数据输入&amp;测算结果'!$C$24*8)/'基本数据输入&amp;测算结果'!$C$21/'基本数据输入&amp;测算结果'!$C$22,"无数据/数据缺失")</f>
        <v>无数据/数据缺失</v>
      </c>
      <c r="DA339" s="42">
        <f>IF(CZ339&lt;0,0,IF(CZ339="无数据/数据缺失",0,IF('基本数据输入&amp;测算结果'!$C$20*CY339&gt;CZ339,CZ339/'基本数据输入&amp;测算结果'!$C$20*CY339,CY339)))</f>
        <v>0</v>
      </c>
      <c r="DB339" s="49">
        <f t="shared" si="14"/>
        <v>0</v>
      </c>
      <c r="DC339" s="50"/>
      <c r="DD339" s="50"/>
    </row>
    <row r="340" customHeight="1" spans="1:108">
      <c r="A340" s="54" t="s">
        <v>382</v>
      </c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1"/>
      <c r="AI340" s="51"/>
      <c r="AJ340" s="51"/>
      <c r="AK340" s="51"/>
      <c r="AL340" s="51"/>
      <c r="AM340" s="51"/>
      <c r="AN340" s="51"/>
      <c r="AO340" s="51"/>
      <c r="AP340" s="51"/>
      <c r="AQ340" s="51"/>
      <c r="AR340" s="51"/>
      <c r="AS340" s="51"/>
      <c r="AT340" s="51"/>
      <c r="AU340" s="51"/>
      <c r="AV340" s="51"/>
      <c r="AW340" s="51"/>
      <c r="AX340" s="51"/>
      <c r="AY340" s="51"/>
      <c r="AZ340" s="51"/>
      <c r="BA340" s="51"/>
      <c r="BB340" s="51"/>
      <c r="BC340" s="51"/>
      <c r="BD340" s="51"/>
      <c r="BE340" s="51"/>
      <c r="BF340" s="51"/>
      <c r="BG340" s="51"/>
      <c r="BH340" s="51"/>
      <c r="BI340" s="51"/>
      <c r="BJ340" s="51"/>
      <c r="BK340" s="51"/>
      <c r="BL340" s="51"/>
      <c r="BM340" s="51"/>
      <c r="BN340" s="51"/>
      <c r="BO340" s="51"/>
      <c r="BP340" s="51"/>
      <c r="BQ340" s="51"/>
      <c r="BR340" s="51"/>
      <c r="BS340" s="51"/>
      <c r="BT340" s="51"/>
      <c r="BU340" s="51"/>
      <c r="BV340" s="51"/>
      <c r="BW340" s="51"/>
      <c r="BX340" s="51"/>
      <c r="BY340" s="51"/>
      <c r="BZ340" s="51"/>
      <c r="CA340" s="51"/>
      <c r="CB340" s="51"/>
      <c r="CC340" s="51"/>
      <c r="CD340" s="51"/>
      <c r="CE340" s="51"/>
      <c r="CF340" s="51"/>
      <c r="CG340" s="51"/>
      <c r="CH340" s="51"/>
      <c r="CI340" s="51"/>
      <c r="CJ340" s="51"/>
      <c r="CK340" s="51"/>
      <c r="CL340" s="51"/>
      <c r="CM340" s="51"/>
      <c r="CN340" s="51"/>
      <c r="CO340" s="51"/>
      <c r="CP340" s="51"/>
      <c r="CQ340" s="51"/>
      <c r="CR340" s="51"/>
      <c r="CS340" s="51"/>
      <c r="CT340" s="42" t="str">
        <f>IFERROR(('基本数据输入&amp;测算结果'!$C$19*7-AVERAGE(B340:Y340,CP340:CS340)*7-'基本数据输入&amp;测算结果'!$C$23*7)/'基本数据输入&amp;测算结果'!$C$21*'基本数据输入&amp;测算结果'!$C$22,"无数据/数据缺失")</f>
        <v>无数据/数据缺失</v>
      </c>
      <c r="CU340" s="42">
        <f>IF(CT340&lt;0,0,IF(CT340="无数据/数据缺失",0%,IF(CT340&gt;'基本数据输入&amp;测算结果'!$C$20,100%,CT340/'基本数据输入&amp;测算结果'!$C$20)))</f>
        <v>0</v>
      </c>
      <c r="CV340" s="42" t="str">
        <f>IFERROR((AVERAGE(Z340:AW340)*6-'基本数据输入&amp;测算结果'!$C$24*6)/'基本数据输入&amp;测算结果'!$C$21/'基本数据输入&amp;测算结果'!$C$22,"无数据/数据缺失")</f>
        <v>无数据/数据缺失</v>
      </c>
      <c r="CW340" s="42">
        <f>IF(CV340&lt;0,0,IF(CV340="无数据/数据缺失",0%,IF(CV340&gt;'基本数据输入&amp;测算结果'!$C$20*CU340,CU340,CV340/'基本数据输入&amp;测算结果'!$C$20*CU340)))</f>
        <v>0</v>
      </c>
      <c r="CX340" s="42" t="str">
        <f>IFERROR(('基本数据输入&amp;测算结果'!$C$19*2-AVERAGE(AX340:BE340)*2-'基本数据输入&amp;测算结果'!$C$23*2)/'基本数据输入&amp;测算结果'!$C$21*'基本数据输入&amp;测算结果'!$C$22,"无数据/数据缺失")</f>
        <v>无数据/数据缺失</v>
      </c>
      <c r="CY340" s="42">
        <f>IF(CX340&lt;0,0,IF(CX340="无数据/数据缺失",0%,IF(CX340&gt;'基本数据输入&amp;测算结果'!$C$20,100%,CX340/'基本数据输入&amp;测算结果'!$C$20)))</f>
        <v>0</v>
      </c>
      <c r="CZ340" s="42" t="str">
        <f>IFERROR((AVERAGE(BJ340:CO340)*8-'基本数据输入&amp;测算结果'!$C$24*8)/'基本数据输入&amp;测算结果'!$C$21/'基本数据输入&amp;测算结果'!$C$22,"无数据/数据缺失")</f>
        <v>无数据/数据缺失</v>
      </c>
      <c r="DA340" s="42">
        <f>IF(CZ340&lt;0,0,IF(CZ340="无数据/数据缺失",0,IF('基本数据输入&amp;测算结果'!$C$20*CY340&gt;CZ340,CZ340/'基本数据输入&amp;测算结果'!$C$20*CY340,CY340)))</f>
        <v>0</v>
      </c>
      <c r="DB340" s="49">
        <f t="shared" si="14"/>
        <v>0</v>
      </c>
      <c r="DC340" s="50"/>
      <c r="DD340" s="50"/>
    </row>
    <row r="341" customHeight="1" spans="1:108">
      <c r="A341" s="54" t="s">
        <v>383</v>
      </c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1"/>
      <c r="AI341" s="51"/>
      <c r="AJ341" s="51"/>
      <c r="AK341" s="51"/>
      <c r="AL341" s="51"/>
      <c r="AM341" s="51"/>
      <c r="AN341" s="51"/>
      <c r="AO341" s="51"/>
      <c r="AP341" s="51"/>
      <c r="AQ341" s="51"/>
      <c r="AR341" s="51"/>
      <c r="AS341" s="51"/>
      <c r="AT341" s="51"/>
      <c r="AU341" s="51"/>
      <c r="AV341" s="51"/>
      <c r="AW341" s="51"/>
      <c r="AX341" s="51"/>
      <c r="AY341" s="51"/>
      <c r="AZ341" s="51"/>
      <c r="BA341" s="51"/>
      <c r="BB341" s="51"/>
      <c r="BC341" s="51"/>
      <c r="BD341" s="51"/>
      <c r="BE341" s="51"/>
      <c r="BF341" s="51"/>
      <c r="BG341" s="51"/>
      <c r="BH341" s="51"/>
      <c r="BI341" s="51"/>
      <c r="BJ341" s="51"/>
      <c r="BK341" s="51"/>
      <c r="BL341" s="51"/>
      <c r="BM341" s="51"/>
      <c r="BN341" s="51"/>
      <c r="BO341" s="51"/>
      <c r="BP341" s="51"/>
      <c r="BQ341" s="51"/>
      <c r="BR341" s="51"/>
      <c r="BS341" s="51"/>
      <c r="BT341" s="51"/>
      <c r="BU341" s="51"/>
      <c r="BV341" s="51"/>
      <c r="BW341" s="51"/>
      <c r="BX341" s="51"/>
      <c r="BY341" s="51"/>
      <c r="BZ341" s="51"/>
      <c r="CA341" s="51"/>
      <c r="CB341" s="51"/>
      <c r="CC341" s="51"/>
      <c r="CD341" s="51"/>
      <c r="CE341" s="51"/>
      <c r="CF341" s="51"/>
      <c r="CG341" s="51"/>
      <c r="CH341" s="51"/>
      <c r="CI341" s="51"/>
      <c r="CJ341" s="51"/>
      <c r="CK341" s="51"/>
      <c r="CL341" s="51"/>
      <c r="CM341" s="51"/>
      <c r="CN341" s="51"/>
      <c r="CO341" s="51"/>
      <c r="CP341" s="51"/>
      <c r="CQ341" s="51"/>
      <c r="CR341" s="51"/>
      <c r="CS341" s="51"/>
      <c r="CT341" s="42" t="str">
        <f>IFERROR(('基本数据输入&amp;测算结果'!$C$19*7-AVERAGE(B341:Y341,CP341:CS341)*7-'基本数据输入&amp;测算结果'!$C$23*7)/'基本数据输入&amp;测算结果'!$C$21*'基本数据输入&amp;测算结果'!$C$22,"无数据/数据缺失")</f>
        <v>无数据/数据缺失</v>
      </c>
      <c r="CU341" s="42">
        <f>IF(CT341&lt;0,0,IF(CT341="无数据/数据缺失",0%,IF(CT341&gt;'基本数据输入&amp;测算结果'!$C$20,100%,CT341/'基本数据输入&amp;测算结果'!$C$20)))</f>
        <v>0</v>
      </c>
      <c r="CV341" s="42" t="str">
        <f>IFERROR((AVERAGE(Z341:AW341)*6-'基本数据输入&amp;测算结果'!$C$24*6)/'基本数据输入&amp;测算结果'!$C$21/'基本数据输入&amp;测算结果'!$C$22,"无数据/数据缺失")</f>
        <v>无数据/数据缺失</v>
      </c>
      <c r="CW341" s="42">
        <f>IF(CV341&lt;0,0,IF(CV341="无数据/数据缺失",0%,IF(CV341&gt;'基本数据输入&amp;测算结果'!$C$20*CU341,CU341,CV341/'基本数据输入&amp;测算结果'!$C$20*CU341)))</f>
        <v>0</v>
      </c>
      <c r="CX341" s="42" t="str">
        <f>IFERROR(('基本数据输入&amp;测算结果'!$C$19*2-AVERAGE(AX341:BE341)*2-'基本数据输入&amp;测算结果'!$C$23*2)/'基本数据输入&amp;测算结果'!$C$21*'基本数据输入&amp;测算结果'!$C$22,"无数据/数据缺失")</f>
        <v>无数据/数据缺失</v>
      </c>
      <c r="CY341" s="42">
        <f>IF(CX341&lt;0,0,IF(CX341="无数据/数据缺失",0%,IF(CX341&gt;'基本数据输入&amp;测算结果'!$C$20,100%,CX341/'基本数据输入&amp;测算结果'!$C$20)))</f>
        <v>0</v>
      </c>
      <c r="CZ341" s="42" t="str">
        <f>IFERROR((AVERAGE(BJ341:CO341)*8-'基本数据输入&amp;测算结果'!$C$24*8)/'基本数据输入&amp;测算结果'!$C$21/'基本数据输入&amp;测算结果'!$C$22,"无数据/数据缺失")</f>
        <v>无数据/数据缺失</v>
      </c>
      <c r="DA341" s="42">
        <f>IF(CZ341&lt;0,0,IF(CZ341="无数据/数据缺失",0,IF('基本数据输入&amp;测算结果'!$C$20*CY341&gt;CZ341,CZ341/'基本数据输入&amp;测算结果'!$C$20*CY341,CY341)))</f>
        <v>0</v>
      </c>
      <c r="DB341" s="49">
        <f t="shared" si="14"/>
        <v>0</v>
      </c>
      <c r="DC341" s="50"/>
      <c r="DD341" s="50"/>
    </row>
    <row r="342" customHeight="1" spans="1:108">
      <c r="A342" s="54" t="s">
        <v>384</v>
      </c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51"/>
      <c r="AN342" s="51"/>
      <c r="AO342" s="51"/>
      <c r="AP342" s="51"/>
      <c r="AQ342" s="51"/>
      <c r="AR342" s="51"/>
      <c r="AS342" s="51"/>
      <c r="AT342" s="51"/>
      <c r="AU342" s="51"/>
      <c r="AV342" s="51"/>
      <c r="AW342" s="51"/>
      <c r="AX342" s="51"/>
      <c r="AY342" s="51"/>
      <c r="AZ342" s="51"/>
      <c r="BA342" s="51"/>
      <c r="BB342" s="51"/>
      <c r="BC342" s="51"/>
      <c r="BD342" s="51"/>
      <c r="BE342" s="51"/>
      <c r="BF342" s="51"/>
      <c r="BG342" s="51"/>
      <c r="BH342" s="51"/>
      <c r="BI342" s="51"/>
      <c r="BJ342" s="51"/>
      <c r="BK342" s="51"/>
      <c r="BL342" s="51"/>
      <c r="BM342" s="51"/>
      <c r="BN342" s="51"/>
      <c r="BO342" s="51"/>
      <c r="BP342" s="51"/>
      <c r="BQ342" s="51"/>
      <c r="BR342" s="51"/>
      <c r="BS342" s="51"/>
      <c r="BT342" s="51"/>
      <c r="BU342" s="51"/>
      <c r="BV342" s="51"/>
      <c r="BW342" s="51"/>
      <c r="BX342" s="51"/>
      <c r="BY342" s="51"/>
      <c r="BZ342" s="51"/>
      <c r="CA342" s="51"/>
      <c r="CB342" s="51"/>
      <c r="CC342" s="51"/>
      <c r="CD342" s="51"/>
      <c r="CE342" s="51"/>
      <c r="CF342" s="51"/>
      <c r="CG342" s="51"/>
      <c r="CH342" s="51"/>
      <c r="CI342" s="51"/>
      <c r="CJ342" s="51"/>
      <c r="CK342" s="51"/>
      <c r="CL342" s="51"/>
      <c r="CM342" s="51"/>
      <c r="CN342" s="51"/>
      <c r="CO342" s="51"/>
      <c r="CP342" s="51"/>
      <c r="CQ342" s="51"/>
      <c r="CR342" s="51"/>
      <c r="CS342" s="51"/>
      <c r="CT342" s="42" t="str">
        <f>IFERROR(('基本数据输入&amp;测算结果'!$C$19*7-AVERAGE(B342:Y342,CP342:CS342)*7-'基本数据输入&amp;测算结果'!$C$23*7)/'基本数据输入&amp;测算结果'!$C$21*'基本数据输入&amp;测算结果'!$C$22,"无数据/数据缺失")</f>
        <v>无数据/数据缺失</v>
      </c>
      <c r="CU342" s="42">
        <f>IF(CT342&lt;0,0,IF(CT342="无数据/数据缺失",0%,IF(CT342&gt;'基本数据输入&amp;测算结果'!$C$20,100%,CT342/'基本数据输入&amp;测算结果'!$C$20)))</f>
        <v>0</v>
      </c>
      <c r="CV342" s="42" t="str">
        <f>IFERROR((AVERAGE(Z342:AW342)*6-'基本数据输入&amp;测算结果'!$C$24*6)/'基本数据输入&amp;测算结果'!$C$21/'基本数据输入&amp;测算结果'!$C$22,"无数据/数据缺失")</f>
        <v>无数据/数据缺失</v>
      </c>
      <c r="CW342" s="42">
        <f>IF(CV342&lt;0,0,IF(CV342="无数据/数据缺失",0%,IF(CV342&gt;'基本数据输入&amp;测算结果'!$C$20*CU342,CU342,CV342/'基本数据输入&amp;测算结果'!$C$20*CU342)))</f>
        <v>0</v>
      </c>
      <c r="CX342" s="42" t="str">
        <f>IFERROR(('基本数据输入&amp;测算结果'!$C$19*2-AVERAGE(AX342:BE342)*2-'基本数据输入&amp;测算结果'!$C$23*2)/'基本数据输入&amp;测算结果'!$C$21*'基本数据输入&amp;测算结果'!$C$22,"无数据/数据缺失")</f>
        <v>无数据/数据缺失</v>
      </c>
      <c r="CY342" s="42">
        <f>IF(CX342&lt;0,0,IF(CX342="无数据/数据缺失",0%,IF(CX342&gt;'基本数据输入&amp;测算结果'!$C$20,100%,CX342/'基本数据输入&amp;测算结果'!$C$20)))</f>
        <v>0</v>
      </c>
      <c r="CZ342" s="42" t="str">
        <f>IFERROR((AVERAGE(BJ342:CO342)*8-'基本数据输入&amp;测算结果'!$C$24*8)/'基本数据输入&amp;测算结果'!$C$21/'基本数据输入&amp;测算结果'!$C$22,"无数据/数据缺失")</f>
        <v>无数据/数据缺失</v>
      </c>
      <c r="DA342" s="42">
        <f>IF(CZ342&lt;0,0,IF(CZ342="无数据/数据缺失",0,IF('基本数据输入&amp;测算结果'!$C$20*CY342&gt;CZ342,CZ342/'基本数据输入&amp;测算结果'!$C$20*CY342,CY342)))</f>
        <v>0</v>
      </c>
      <c r="DB342" s="49">
        <f t="shared" si="14"/>
        <v>0</v>
      </c>
      <c r="DC342" s="50"/>
      <c r="DD342" s="50"/>
    </row>
    <row r="343" customHeight="1" spans="1:108">
      <c r="A343" s="54" t="s">
        <v>385</v>
      </c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1"/>
      <c r="AI343" s="51"/>
      <c r="AJ343" s="51"/>
      <c r="AK343" s="51"/>
      <c r="AL343" s="51"/>
      <c r="AM343" s="51"/>
      <c r="AN343" s="51"/>
      <c r="AO343" s="51"/>
      <c r="AP343" s="51"/>
      <c r="AQ343" s="51"/>
      <c r="AR343" s="51"/>
      <c r="AS343" s="51"/>
      <c r="AT343" s="51"/>
      <c r="AU343" s="51"/>
      <c r="AV343" s="51"/>
      <c r="AW343" s="51"/>
      <c r="AX343" s="51"/>
      <c r="AY343" s="51"/>
      <c r="AZ343" s="51"/>
      <c r="BA343" s="51"/>
      <c r="BB343" s="51"/>
      <c r="BC343" s="51"/>
      <c r="BD343" s="51"/>
      <c r="BE343" s="51"/>
      <c r="BF343" s="51"/>
      <c r="BG343" s="51"/>
      <c r="BH343" s="51"/>
      <c r="BI343" s="51"/>
      <c r="BJ343" s="51"/>
      <c r="BK343" s="51"/>
      <c r="BL343" s="51"/>
      <c r="BM343" s="51"/>
      <c r="BN343" s="51"/>
      <c r="BO343" s="51"/>
      <c r="BP343" s="51"/>
      <c r="BQ343" s="51"/>
      <c r="BR343" s="51"/>
      <c r="BS343" s="51"/>
      <c r="BT343" s="51"/>
      <c r="BU343" s="51"/>
      <c r="BV343" s="51"/>
      <c r="BW343" s="51"/>
      <c r="BX343" s="51"/>
      <c r="BY343" s="51"/>
      <c r="BZ343" s="51"/>
      <c r="CA343" s="51"/>
      <c r="CB343" s="51"/>
      <c r="CC343" s="51"/>
      <c r="CD343" s="51"/>
      <c r="CE343" s="51"/>
      <c r="CF343" s="51"/>
      <c r="CG343" s="51"/>
      <c r="CH343" s="51"/>
      <c r="CI343" s="51"/>
      <c r="CJ343" s="51"/>
      <c r="CK343" s="51"/>
      <c r="CL343" s="51"/>
      <c r="CM343" s="51"/>
      <c r="CN343" s="51"/>
      <c r="CO343" s="51"/>
      <c r="CP343" s="51"/>
      <c r="CQ343" s="51"/>
      <c r="CR343" s="51"/>
      <c r="CS343" s="51"/>
      <c r="CT343" s="42" t="str">
        <f>IFERROR(('基本数据输入&amp;测算结果'!$C$19*7-AVERAGE(B343:Y343,CP343:CS343)*7-'基本数据输入&amp;测算结果'!$C$23*7)/'基本数据输入&amp;测算结果'!$C$21*'基本数据输入&amp;测算结果'!$C$22,"无数据/数据缺失")</f>
        <v>无数据/数据缺失</v>
      </c>
      <c r="CU343" s="42">
        <f>IF(CT343&lt;0,0,IF(CT343="无数据/数据缺失",0%,IF(CT343&gt;'基本数据输入&amp;测算结果'!$C$20,100%,CT343/'基本数据输入&amp;测算结果'!$C$20)))</f>
        <v>0</v>
      </c>
      <c r="CV343" s="42" t="str">
        <f>IFERROR((AVERAGE(Z343:AW343)*6-'基本数据输入&amp;测算结果'!$C$24*6)/'基本数据输入&amp;测算结果'!$C$21/'基本数据输入&amp;测算结果'!$C$22,"无数据/数据缺失")</f>
        <v>无数据/数据缺失</v>
      </c>
      <c r="CW343" s="42">
        <f>IF(CV343&lt;0,0,IF(CV343="无数据/数据缺失",0%,IF(CV343&gt;'基本数据输入&amp;测算结果'!$C$20*CU343,CU343,CV343/'基本数据输入&amp;测算结果'!$C$20*CU343)))</f>
        <v>0</v>
      </c>
      <c r="CX343" s="42" t="str">
        <f>IFERROR(('基本数据输入&amp;测算结果'!$C$19*2-AVERAGE(AX343:BE343)*2-'基本数据输入&amp;测算结果'!$C$23*2)/'基本数据输入&amp;测算结果'!$C$21*'基本数据输入&amp;测算结果'!$C$22,"无数据/数据缺失")</f>
        <v>无数据/数据缺失</v>
      </c>
      <c r="CY343" s="42">
        <f>IF(CX343&lt;0,0,IF(CX343="无数据/数据缺失",0%,IF(CX343&gt;'基本数据输入&amp;测算结果'!$C$20,100%,CX343/'基本数据输入&amp;测算结果'!$C$20)))</f>
        <v>0</v>
      </c>
      <c r="CZ343" s="42" t="str">
        <f>IFERROR((AVERAGE(BJ343:CO343)*8-'基本数据输入&amp;测算结果'!$C$24*8)/'基本数据输入&amp;测算结果'!$C$21/'基本数据输入&amp;测算结果'!$C$22,"无数据/数据缺失")</f>
        <v>无数据/数据缺失</v>
      </c>
      <c r="DA343" s="42">
        <f>IF(CZ343&lt;0,0,IF(CZ343="无数据/数据缺失",0,IF('基本数据输入&amp;测算结果'!$C$20*CY343&gt;CZ343,CZ343/'基本数据输入&amp;测算结果'!$C$20*CY343,CY343)))</f>
        <v>0</v>
      </c>
      <c r="DB343" s="49">
        <f t="shared" si="14"/>
        <v>0</v>
      </c>
      <c r="DC343" s="50"/>
      <c r="DD343" s="50"/>
    </row>
    <row r="344" customHeight="1" spans="1:108">
      <c r="A344" s="54" t="s">
        <v>386</v>
      </c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  <c r="AH344" s="51"/>
      <c r="AI344" s="51"/>
      <c r="AJ344" s="51"/>
      <c r="AK344" s="51"/>
      <c r="AL344" s="51"/>
      <c r="AM344" s="51"/>
      <c r="AN344" s="51"/>
      <c r="AO344" s="51"/>
      <c r="AP344" s="51"/>
      <c r="AQ344" s="51"/>
      <c r="AR344" s="51"/>
      <c r="AS344" s="51"/>
      <c r="AT344" s="51"/>
      <c r="AU344" s="51"/>
      <c r="AV344" s="51"/>
      <c r="AW344" s="51"/>
      <c r="AX344" s="51"/>
      <c r="AY344" s="51"/>
      <c r="AZ344" s="51"/>
      <c r="BA344" s="51"/>
      <c r="BB344" s="51"/>
      <c r="BC344" s="51"/>
      <c r="BD344" s="51"/>
      <c r="BE344" s="51"/>
      <c r="BF344" s="51"/>
      <c r="BG344" s="51"/>
      <c r="BH344" s="51"/>
      <c r="BI344" s="51"/>
      <c r="BJ344" s="51"/>
      <c r="BK344" s="51"/>
      <c r="BL344" s="51"/>
      <c r="BM344" s="51"/>
      <c r="BN344" s="51"/>
      <c r="BO344" s="51"/>
      <c r="BP344" s="51"/>
      <c r="BQ344" s="51"/>
      <c r="BR344" s="51"/>
      <c r="BS344" s="51"/>
      <c r="BT344" s="51"/>
      <c r="BU344" s="51"/>
      <c r="BV344" s="51"/>
      <c r="BW344" s="51"/>
      <c r="BX344" s="51"/>
      <c r="BY344" s="51"/>
      <c r="BZ344" s="51"/>
      <c r="CA344" s="51"/>
      <c r="CB344" s="51"/>
      <c r="CC344" s="51"/>
      <c r="CD344" s="51"/>
      <c r="CE344" s="51"/>
      <c r="CF344" s="51"/>
      <c r="CG344" s="51"/>
      <c r="CH344" s="51"/>
      <c r="CI344" s="51"/>
      <c r="CJ344" s="51"/>
      <c r="CK344" s="51"/>
      <c r="CL344" s="51"/>
      <c r="CM344" s="51"/>
      <c r="CN344" s="51"/>
      <c r="CO344" s="51"/>
      <c r="CP344" s="51"/>
      <c r="CQ344" s="51"/>
      <c r="CR344" s="51"/>
      <c r="CS344" s="51"/>
      <c r="CT344" s="42" t="str">
        <f>IFERROR(('基本数据输入&amp;测算结果'!$C$19*7-AVERAGE(B344:Y344,CP344:CS344)*7-'基本数据输入&amp;测算结果'!$C$23*7)/'基本数据输入&amp;测算结果'!$C$21*'基本数据输入&amp;测算结果'!$C$22,"无数据/数据缺失")</f>
        <v>无数据/数据缺失</v>
      </c>
      <c r="CU344" s="42">
        <f>IF(CT344&lt;0,0,IF(CT344="无数据/数据缺失",0%,IF(CT344&gt;'基本数据输入&amp;测算结果'!$C$20,100%,CT344/'基本数据输入&amp;测算结果'!$C$20)))</f>
        <v>0</v>
      </c>
      <c r="CV344" s="42" t="str">
        <f>IFERROR((AVERAGE(Z344:AW344)*6-'基本数据输入&amp;测算结果'!$C$24*6)/'基本数据输入&amp;测算结果'!$C$21/'基本数据输入&amp;测算结果'!$C$22,"无数据/数据缺失")</f>
        <v>无数据/数据缺失</v>
      </c>
      <c r="CW344" s="42">
        <f>IF(CV344&lt;0,0,IF(CV344="无数据/数据缺失",0%,IF(CV344&gt;'基本数据输入&amp;测算结果'!$C$20*CU344,CU344,CV344/'基本数据输入&amp;测算结果'!$C$20*CU344)))</f>
        <v>0</v>
      </c>
      <c r="CX344" s="42" t="str">
        <f>IFERROR(('基本数据输入&amp;测算结果'!$C$19*2-AVERAGE(AX344:BE344)*2-'基本数据输入&amp;测算结果'!$C$23*2)/'基本数据输入&amp;测算结果'!$C$21*'基本数据输入&amp;测算结果'!$C$22,"无数据/数据缺失")</f>
        <v>无数据/数据缺失</v>
      </c>
      <c r="CY344" s="42">
        <f>IF(CX344&lt;0,0,IF(CX344="无数据/数据缺失",0%,IF(CX344&gt;'基本数据输入&amp;测算结果'!$C$20,100%,CX344/'基本数据输入&amp;测算结果'!$C$20)))</f>
        <v>0</v>
      </c>
      <c r="CZ344" s="42" t="str">
        <f>IFERROR((AVERAGE(BJ344:CO344)*8-'基本数据输入&amp;测算结果'!$C$24*8)/'基本数据输入&amp;测算结果'!$C$21/'基本数据输入&amp;测算结果'!$C$22,"无数据/数据缺失")</f>
        <v>无数据/数据缺失</v>
      </c>
      <c r="DA344" s="42">
        <f>IF(CZ344&lt;0,0,IF(CZ344="无数据/数据缺失",0,IF('基本数据输入&amp;测算结果'!$C$20*CY344&gt;CZ344,CZ344/'基本数据输入&amp;测算结果'!$C$20*CY344,CY344)))</f>
        <v>0</v>
      </c>
      <c r="DB344" s="49">
        <f t="shared" si="14"/>
        <v>0</v>
      </c>
      <c r="DC344" s="50"/>
      <c r="DD344" s="50"/>
    </row>
    <row r="345" customHeight="1" spans="1:108">
      <c r="A345" s="54" t="s">
        <v>387</v>
      </c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  <c r="AH345" s="51"/>
      <c r="AI345" s="51"/>
      <c r="AJ345" s="51"/>
      <c r="AK345" s="51"/>
      <c r="AL345" s="51"/>
      <c r="AM345" s="51"/>
      <c r="AN345" s="51"/>
      <c r="AO345" s="51"/>
      <c r="AP345" s="51"/>
      <c r="AQ345" s="51"/>
      <c r="AR345" s="51"/>
      <c r="AS345" s="51"/>
      <c r="AT345" s="51"/>
      <c r="AU345" s="51"/>
      <c r="AV345" s="51"/>
      <c r="AW345" s="51"/>
      <c r="AX345" s="51"/>
      <c r="AY345" s="51"/>
      <c r="AZ345" s="51"/>
      <c r="BA345" s="51"/>
      <c r="BB345" s="51"/>
      <c r="BC345" s="51"/>
      <c r="BD345" s="51"/>
      <c r="BE345" s="51"/>
      <c r="BF345" s="51"/>
      <c r="BG345" s="51"/>
      <c r="BH345" s="51"/>
      <c r="BI345" s="51"/>
      <c r="BJ345" s="51"/>
      <c r="BK345" s="51"/>
      <c r="BL345" s="51"/>
      <c r="BM345" s="51"/>
      <c r="BN345" s="51"/>
      <c r="BO345" s="51"/>
      <c r="BP345" s="51"/>
      <c r="BQ345" s="51"/>
      <c r="BR345" s="51"/>
      <c r="BS345" s="51"/>
      <c r="BT345" s="51"/>
      <c r="BU345" s="51"/>
      <c r="BV345" s="51"/>
      <c r="BW345" s="51"/>
      <c r="BX345" s="51"/>
      <c r="BY345" s="51"/>
      <c r="BZ345" s="51"/>
      <c r="CA345" s="51"/>
      <c r="CB345" s="51"/>
      <c r="CC345" s="51"/>
      <c r="CD345" s="51"/>
      <c r="CE345" s="51"/>
      <c r="CF345" s="51"/>
      <c r="CG345" s="51"/>
      <c r="CH345" s="51"/>
      <c r="CI345" s="51"/>
      <c r="CJ345" s="51"/>
      <c r="CK345" s="51"/>
      <c r="CL345" s="51"/>
      <c r="CM345" s="51"/>
      <c r="CN345" s="51"/>
      <c r="CO345" s="51"/>
      <c r="CP345" s="51"/>
      <c r="CQ345" s="51"/>
      <c r="CR345" s="51"/>
      <c r="CS345" s="51"/>
      <c r="CT345" s="42" t="str">
        <f>IFERROR(('基本数据输入&amp;测算结果'!$C$19*7-AVERAGE(B345:Y345,CP345:CS345)*7-'基本数据输入&amp;测算结果'!$C$23*7)/'基本数据输入&amp;测算结果'!$C$21*'基本数据输入&amp;测算结果'!$C$22,"无数据/数据缺失")</f>
        <v>无数据/数据缺失</v>
      </c>
      <c r="CU345" s="42">
        <f>IF(CT345&lt;0,0,IF(CT345="无数据/数据缺失",0%,IF(CT345&gt;'基本数据输入&amp;测算结果'!$C$20,100%,CT345/'基本数据输入&amp;测算结果'!$C$20)))</f>
        <v>0</v>
      </c>
      <c r="CV345" s="42" t="str">
        <f>IFERROR((AVERAGE(Z345:AW345)*6-'基本数据输入&amp;测算结果'!$C$24*6)/'基本数据输入&amp;测算结果'!$C$21/'基本数据输入&amp;测算结果'!$C$22,"无数据/数据缺失")</f>
        <v>无数据/数据缺失</v>
      </c>
      <c r="CW345" s="42">
        <f>IF(CV345&lt;0,0,IF(CV345="无数据/数据缺失",0%,IF(CV345&gt;'基本数据输入&amp;测算结果'!$C$20*CU345,CU345,CV345/'基本数据输入&amp;测算结果'!$C$20*CU345)))</f>
        <v>0</v>
      </c>
      <c r="CX345" s="42" t="str">
        <f>IFERROR(('基本数据输入&amp;测算结果'!$C$19*2-AVERAGE(AX345:BE345)*2-'基本数据输入&amp;测算结果'!$C$23*2)/'基本数据输入&amp;测算结果'!$C$21*'基本数据输入&amp;测算结果'!$C$22,"无数据/数据缺失")</f>
        <v>无数据/数据缺失</v>
      </c>
      <c r="CY345" s="42">
        <f>IF(CX345&lt;0,0,IF(CX345="无数据/数据缺失",0%,IF(CX345&gt;'基本数据输入&amp;测算结果'!$C$20,100%,CX345/'基本数据输入&amp;测算结果'!$C$20)))</f>
        <v>0</v>
      </c>
      <c r="CZ345" s="42" t="str">
        <f>IFERROR((AVERAGE(BJ345:CO345)*8-'基本数据输入&amp;测算结果'!$C$24*8)/'基本数据输入&amp;测算结果'!$C$21/'基本数据输入&amp;测算结果'!$C$22,"无数据/数据缺失")</f>
        <v>无数据/数据缺失</v>
      </c>
      <c r="DA345" s="42">
        <f>IF(CZ345&lt;0,0,IF(CZ345="无数据/数据缺失",0,IF('基本数据输入&amp;测算结果'!$C$20*CY345&gt;CZ345,CZ345/'基本数据输入&amp;测算结果'!$C$20*CY345,CY345)))</f>
        <v>0</v>
      </c>
      <c r="DB345" s="49">
        <f t="shared" si="14"/>
        <v>0</v>
      </c>
      <c r="DC345" s="50"/>
      <c r="DD345" s="50"/>
    </row>
    <row r="346" customHeight="1" spans="1:108">
      <c r="A346" s="54" t="s">
        <v>388</v>
      </c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  <c r="AL346" s="51"/>
      <c r="AM346" s="51"/>
      <c r="AN346" s="51"/>
      <c r="AO346" s="51"/>
      <c r="AP346" s="51"/>
      <c r="AQ346" s="51"/>
      <c r="AR346" s="51"/>
      <c r="AS346" s="51"/>
      <c r="AT346" s="51"/>
      <c r="AU346" s="51"/>
      <c r="AV346" s="51"/>
      <c r="AW346" s="51"/>
      <c r="AX346" s="51"/>
      <c r="AY346" s="51"/>
      <c r="AZ346" s="51"/>
      <c r="BA346" s="51"/>
      <c r="BB346" s="51"/>
      <c r="BC346" s="51"/>
      <c r="BD346" s="51"/>
      <c r="BE346" s="51"/>
      <c r="BF346" s="51"/>
      <c r="BG346" s="51"/>
      <c r="BH346" s="51"/>
      <c r="BI346" s="51"/>
      <c r="BJ346" s="51"/>
      <c r="BK346" s="51"/>
      <c r="BL346" s="51"/>
      <c r="BM346" s="51"/>
      <c r="BN346" s="51"/>
      <c r="BO346" s="51"/>
      <c r="BP346" s="51"/>
      <c r="BQ346" s="51"/>
      <c r="BR346" s="51"/>
      <c r="BS346" s="51"/>
      <c r="BT346" s="51"/>
      <c r="BU346" s="51"/>
      <c r="BV346" s="51"/>
      <c r="BW346" s="51"/>
      <c r="BX346" s="51"/>
      <c r="BY346" s="51"/>
      <c r="BZ346" s="51"/>
      <c r="CA346" s="51"/>
      <c r="CB346" s="51"/>
      <c r="CC346" s="51"/>
      <c r="CD346" s="51"/>
      <c r="CE346" s="51"/>
      <c r="CF346" s="51"/>
      <c r="CG346" s="51"/>
      <c r="CH346" s="51"/>
      <c r="CI346" s="51"/>
      <c r="CJ346" s="51"/>
      <c r="CK346" s="51"/>
      <c r="CL346" s="51"/>
      <c r="CM346" s="51"/>
      <c r="CN346" s="51"/>
      <c r="CO346" s="51"/>
      <c r="CP346" s="51"/>
      <c r="CQ346" s="51"/>
      <c r="CR346" s="51"/>
      <c r="CS346" s="51"/>
      <c r="CT346" s="42" t="str">
        <f>IFERROR(('基本数据输入&amp;测算结果'!$C$19*7-AVERAGE(B346:Y346,CP346:CS346)*7-'基本数据输入&amp;测算结果'!$C$23*7)/'基本数据输入&amp;测算结果'!$C$21*'基本数据输入&amp;测算结果'!$C$22,"无数据/数据缺失")</f>
        <v>无数据/数据缺失</v>
      </c>
      <c r="CU346" s="42">
        <f>IF(CT346&lt;0,0,IF(CT346="无数据/数据缺失",0%,IF(CT346&gt;'基本数据输入&amp;测算结果'!$C$20,100%,CT346/'基本数据输入&amp;测算结果'!$C$20)))</f>
        <v>0</v>
      </c>
      <c r="CV346" s="42" t="str">
        <f>IFERROR((AVERAGE(Z346:AW346)*6-'基本数据输入&amp;测算结果'!$C$24*6)/'基本数据输入&amp;测算结果'!$C$21/'基本数据输入&amp;测算结果'!$C$22,"无数据/数据缺失")</f>
        <v>无数据/数据缺失</v>
      </c>
      <c r="CW346" s="42">
        <f>IF(CV346&lt;0,0,IF(CV346="无数据/数据缺失",0%,IF(CV346&gt;'基本数据输入&amp;测算结果'!$C$20*CU346,CU346,CV346/'基本数据输入&amp;测算结果'!$C$20*CU346)))</f>
        <v>0</v>
      </c>
      <c r="CX346" s="42" t="str">
        <f>IFERROR(('基本数据输入&amp;测算结果'!$C$19*2-AVERAGE(AX346:BE346)*2-'基本数据输入&amp;测算结果'!$C$23*2)/'基本数据输入&amp;测算结果'!$C$21*'基本数据输入&amp;测算结果'!$C$22,"无数据/数据缺失")</f>
        <v>无数据/数据缺失</v>
      </c>
      <c r="CY346" s="42">
        <f>IF(CX346&lt;0,0,IF(CX346="无数据/数据缺失",0%,IF(CX346&gt;'基本数据输入&amp;测算结果'!$C$20,100%,CX346/'基本数据输入&amp;测算结果'!$C$20)))</f>
        <v>0</v>
      </c>
      <c r="CZ346" s="42" t="str">
        <f>IFERROR((AVERAGE(BJ346:CO346)*8-'基本数据输入&amp;测算结果'!$C$24*8)/'基本数据输入&amp;测算结果'!$C$21/'基本数据输入&amp;测算结果'!$C$22,"无数据/数据缺失")</f>
        <v>无数据/数据缺失</v>
      </c>
      <c r="DA346" s="42">
        <f>IF(CZ346&lt;0,0,IF(CZ346="无数据/数据缺失",0,IF('基本数据输入&amp;测算结果'!$C$20*CY346&gt;CZ346,CZ346/'基本数据输入&amp;测算结果'!$C$20*CY346,CY346)))</f>
        <v>0</v>
      </c>
      <c r="DB346" s="49">
        <f t="shared" si="14"/>
        <v>0</v>
      </c>
      <c r="DC346" s="50"/>
      <c r="DD346" s="50"/>
    </row>
    <row r="347" customHeight="1" spans="1:108">
      <c r="A347" s="54" t="s">
        <v>389</v>
      </c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1"/>
      <c r="AI347" s="51"/>
      <c r="AJ347" s="51"/>
      <c r="AK347" s="51"/>
      <c r="AL347" s="51"/>
      <c r="AM347" s="51"/>
      <c r="AN347" s="51"/>
      <c r="AO347" s="51"/>
      <c r="AP347" s="51"/>
      <c r="AQ347" s="51"/>
      <c r="AR347" s="51"/>
      <c r="AS347" s="51"/>
      <c r="AT347" s="51"/>
      <c r="AU347" s="51"/>
      <c r="AV347" s="51"/>
      <c r="AW347" s="51"/>
      <c r="AX347" s="51"/>
      <c r="AY347" s="51"/>
      <c r="AZ347" s="51"/>
      <c r="BA347" s="51"/>
      <c r="BB347" s="51"/>
      <c r="BC347" s="51"/>
      <c r="BD347" s="51"/>
      <c r="BE347" s="51"/>
      <c r="BF347" s="51"/>
      <c r="BG347" s="51"/>
      <c r="BH347" s="51"/>
      <c r="BI347" s="51"/>
      <c r="BJ347" s="51"/>
      <c r="BK347" s="51"/>
      <c r="BL347" s="51"/>
      <c r="BM347" s="51"/>
      <c r="BN347" s="51"/>
      <c r="BO347" s="51"/>
      <c r="BP347" s="51"/>
      <c r="BQ347" s="51"/>
      <c r="BR347" s="51"/>
      <c r="BS347" s="51"/>
      <c r="BT347" s="51"/>
      <c r="BU347" s="51"/>
      <c r="BV347" s="51"/>
      <c r="BW347" s="51"/>
      <c r="BX347" s="51"/>
      <c r="BY347" s="51"/>
      <c r="BZ347" s="51"/>
      <c r="CA347" s="51"/>
      <c r="CB347" s="51"/>
      <c r="CC347" s="51"/>
      <c r="CD347" s="51"/>
      <c r="CE347" s="51"/>
      <c r="CF347" s="51"/>
      <c r="CG347" s="51"/>
      <c r="CH347" s="51"/>
      <c r="CI347" s="51"/>
      <c r="CJ347" s="51"/>
      <c r="CK347" s="51"/>
      <c r="CL347" s="51"/>
      <c r="CM347" s="51"/>
      <c r="CN347" s="51"/>
      <c r="CO347" s="51"/>
      <c r="CP347" s="51"/>
      <c r="CQ347" s="51"/>
      <c r="CR347" s="51"/>
      <c r="CS347" s="51"/>
      <c r="CT347" s="42" t="str">
        <f>IFERROR(('基本数据输入&amp;测算结果'!$C$19*7-AVERAGE(B347:Y347,CP347:CS347)*7-'基本数据输入&amp;测算结果'!$C$23*7)/'基本数据输入&amp;测算结果'!$C$21*'基本数据输入&amp;测算结果'!$C$22,"无数据/数据缺失")</f>
        <v>无数据/数据缺失</v>
      </c>
      <c r="CU347" s="42">
        <f>IF(CT347&lt;0,0,IF(CT347="无数据/数据缺失",0%,IF(CT347&gt;'基本数据输入&amp;测算结果'!$C$20,100%,CT347/'基本数据输入&amp;测算结果'!$C$20)))</f>
        <v>0</v>
      </c>
      <c r="CV347" s="42" t="str">
        <f>IFERROR((AVERAGE(Z347:AW347)*6-'基本数据输入&amp;测算结果'!$C$24*6)/'基本数据输入&amp;测算结果'!$C$21/'基本数据输入&amp;测算结果'!$C$22,"无数据/数据缺失")</f>
        <v>无数据/数据缺失</v>
      </c>
      <c r="CW347" s="42">
        <f>IF(CV347&lt;0,0,IF(CV347="无数据/数据缺失",0%,IF(CV347&gt;'基本数据输入&amp;测算结果'!$C$20*CU347,CU347,CV347/'基本数据输入&amp;测算结果'!$C$20*CU347)))</f>
        <v>0</v>
      </c>
      <c r="CX347" s="42" t="str">
        <f>IFERROR(('基本数据输入&amp;测算结果'!$C$19*2-AVERAGE(AX347:BE347)*2-'基本数据输入&amp;测算结果'!$C$23*2)/'基本数据输入&amp;测算结果'!$C$21*'基本数据输入&amp;测算结果'!$C$22,"无数据/数据缺失")</f>
        <v>无数据/数据缺失</v>
      </c>
      <c r="CY347" s="42">
        <f>IF(CX347&lt;0,0,IF(CX347="无数据/数据缺失",0%,IF(CX347&gt;'基本数据输入&amp;测算结果'!$C$20,100%,CX347/'基本数据输入&amp;测算结果'!$C$20)))</f>
        <v>0</v>
      </c>
      <c r="CZ347" s="42" t="str">
        <f>IFERROR((AVERAGE(BJ347:CO347)*8-'基本数据输入&amp;测算结果'!$C$24*8)/'基本数据输入&amp;测算结果'!$C$21/'基本数据输入&amp;测算结果'!$C$22,"无数据/数据缺失")</f>
        <v>无数据/数据缺失</v>
      </c>
      <c r="DA347" s="42">
        <f>IF(CZ347&lt;0,0,IF(CZ347="无数据/数据缺失",0,IF('基本数据输入&amp;测算结果'!$C$20*CY347&gt;CZ347,CZ347/'基本数据输入&amp;测算结果'!$C$20*CY347,CY347)))</f>
        <v>0</v>
      </c>
      <c r="DB347" s="49">
        <f t="shared" si="14"/>
        <v>0</v>
      </c>
      <c r="DC347" s="50"/>
      <c r="DD347" s="50"/>
    </row>
    <row r="348" customHeight="1" spans="1:108">
      <c r="A348" s="54" t="s">
        <v>390</v>
      </c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1"/>
      <c r="AI348" s="51"/>
      <c r="AJ348" s="51"/>
      <c r="AK348" s="51"/>
      <c r="AL348" s="51"/>
      <c r="AM348" s="51"/>
      <c r="AN348" s="51"/>
      <c r="AO348" s="51"/>
      <c r="AP348" s="51"/>
      <c r="AQ348" s="51"/>
      <c r="AR348" s="51"/>
      <c r="AS348" s="51"/>
      <c r="AT348" s="51"/>
      <c r="AU348" s="51"/>
      <c r="AV348" s="51"/>
      <c r="AW348" s="51"/>
      <c r="AX348" s="51"/>
      <c r="AY348" s="51"/>
      <c r="AZ348" s="51"/>
      <c r="BA348" s="51"/>
      <c r="BB348" s="51"/>
      <c r="BC348" s="51"/>
      <c r="BD348" s="51"/>
      <c r="BE348" s="51"/>
      <c r="BF348" s="51"/>
      <c r="BG348" s="51"/>
      <c r="BH348" s="51"/>
      <c r="BI348" s="51"/>
      <c r="BJ348" s="51"/>
      <c r="BK348" s="51"/>
      <c r="BL348" s="51"/>
      <c r="BM348" s="51"/>
      <c r="BN348" s="51"/>
      <c r="BO348" s="51"/>
      <c r="BP348" s="51"/>
      <c r="BQ348" s="51"/>
      <c r="BR348" s="51"/>
      <c r="BS348" s="51"/>
      <c r="BT348" s="51"/>
      <c r="BU348" s="51"/>
      <c r="BV348" s="51"/>
      <c r="BW348" s="51"/>
      <c r="BX348" s="51"/>
      <c r="BY348" s="51"/>
      <c r="BZ348" s="51"/>
      <c r="CA348" s="51"/>
      <c r="CB348" s="51"/>
      <c r="CC348" s="51"/>
      <c r="CD348" s="51"/>
      <c r="CE348" s="51"/>
      <c r="CF348" s="51"/>
      <c r="CG348" s="51"/>
      <c r="CH348" s="51"/>
      <c r="CI348" s="51"/>
      <c r="CJ348" s="51"/>
      <c r="CK348" s="51"/>
      <c r="CL348" s="51"/>
      <c r="CM348" s="51"/>
      <c r="CN348" s="51"/>
      <c r="CO348" s="51"/>
      <c r="CP348" s="51"/>
      <c r="CQ348" s="51"/>
      <c r="CR348" s="51"/>
      <c r="CS348" s="51"/>
      <c r="CT348" s="42" t="str">
        <f>IFERROR(('基本数据输入&amp;测算结果'!$C$19*7-AVERAGE(B348:Y348,CP348:CS348)*7-'基本数据输入&amp;测算结果'!$C$23*7)/'基本数据输入&amp;测算结果'!$C$21*'基本数据输入&amp;测算结果'!$C$22,"无数据/数据缺失")</f>
        <v>无数据/数据缺失</v>
      </c>
      <c r="CU348" s="42">
        <f>IF(CT348&lt;0,0,IF(CT348="无数据/数据缺失",0%,IF(CT348&gt;'基本数据输入&amp;测算结果'!$C$20,100%,CT348/'基本数据输入&amp;测算结果'!$C$20)))</f>
        <v>0</v>
      </c>
      <c r="CV348" s="42" t="str">
        <f>IFERROR((AVERAGE(Z348:AW348)*6-'基本数据输入&amp;测算结果'!$C$24*6)/'基本数据输入&amp;测算结果'!$C$21/'基本数据输入&amp;测算结果'!$C$22,"无数据/数据缺失")</f>
        <v>无数据/数据缺失</v>
      </c>
      <c r="CW348" s="42">
        <f>IF(CV348&lt;0,0,IF(CV348="无数据/数据缺失",0%,IF(CV348&gt;'基本数据输入&amp;测算结果'!$C$20*CU348,CU348,CV348/'基本数据输入&amp;测算结果'!$C$20*CU348)))</f>
        <v>0</v>
      </c>
      <c r="CX348" s="42" t="str">
        <f>IFERROR(('基本数据输入&amp;测算结果'!$C$19*2-AVERAGE(AX348:BE348)*2-'基本数据输入&amp;测算结果'!$C$23*2)/'基本数据输入&amp;测算结果'!$C$21*'基本数据输入&amp;测算结果'!$C$22,"无数据/数据缺失")</f>
        <v>无数据/数据缺失</v>
      </c>
      <c r="CY348" s="42">
        <f>IF(CX348&lt;0,0,IF(CX348="无数据/数据缺失",0%,IF(CX348&gt;'基本数据输入&amp;测算结果'!$C$20,100%,CX348/'基本数据输入&amp;测算结果'!$C$20)))</f>
        <v>0</v>
      </c>
      <c r="CZ348" s="42" t="str">
        <f>IFERROR((AVERAGE(BJ348:CO348)*8-'基本数据输入&amp;测算结果'!$C$24*8)/'基本数据输入&amp;测算结果'!$C$21/'基本数据输入&amp;测算结果'!$C$22,"无数据/数据缺失")</f>
        <v>无数据/数据缺失</v>
      </c>
      <c r="DA348" s="42">
        <f>IF(CZ348&lt;0,0,IF(CZ348="无数据/数据缺失",0,IF('基本数据输入&amp;测算结果'!$C$20*CY348&gt;CZ348,CZ348/'基本数据输入&amp;测算结果'!$C$20*CY348,CY348)))</f>
        <v>0</v>
      </c>
      <c r="DB348" s="49">
        <f t="shared" si="14"/>
        <v>0</v>
      </c>
      <c r="DC348" s="50"/>
      <c r="DD348" s="50"/>
    </row>
    <row r="349" customHeight="1" spans="1:108">
      <c r="A349" s="54" t="s">
        <v>391</v>
      </c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1"/>
      <c r="AI349" s="51"/>
      <c r="AJ349" s="51"/>
      <c r="AK349" s="51"/>
      <c r="AL349" s="51"/>
      <c r="AM349" s="51"/>
      <c r="AN349" s="51"/>
      <c r="AO349" s="51"/>
      <c r="AP349" s="51"/>
      <c r="AQ349" s="51"/>
      <c r="AR349" s="51"/>
      <c r="AS349" s="51"/>
      <c r="AT349" s="51"/>
      <c r="AU349" s="51"/>
      <c r="AV349" s="51"/>
      <c r="AW349" s="51"/>
      <c r="AX349" s="51"/>
      <c r="AY349" s="51"/>
      <c r="AZ349" s="51"/>
      <c r="BA349" s="51"/>
      <c r="BB349" s="51"/>
      <c r="BC349" s="51"/>
      <c r="BD349" s="51"/>
      <c r="BE349" s="51"/>
      <c r="BF349" s="51"/>
      <c r="BG349" s="51"/>
      <c r="BH349" s="51"/>
      <c r="BI349" s="51"/>
      <c r="BJ349" s="51"/>
      <c r="BK349" s="51"/>
      <c r="BL349" s="51"/>
      <c r="BM349" s="51"/>
      <c r="BN349" s="51"/>
      <c r="BO349" s="51"/>
      <c r="BP349" s="51"/>
      <c r="BQ349" s="51"/>
      <c r="BR349" s="51"/>
      <c r="BS349" s="51"/>
      <c r="BT349" s="51"/>
      <c r="BU349" s="51"/>
      <c r="BV349" s="51"/>
      <c r="BW349" s="51"/>
      <c r="BX349" s="51"/>
      <c r="BY349" s="51"/>
      <c r="BZ349" s="51"/>
      <c r="CA349" s="51"/>
      <c r="CB349" s="51"/>
      <c r="CC349" s="51"/>
      <c r="CD349" s="51"/>
      <c r="CE349" s="51"/>
      <c r="CF349" s="51"/>
      <c r="CG349" s="51"/>
      <c r="CH349" s="51"/>
      <c r="CI349" s="51"/>
      <c r="CJ349" s="51"/>
      <c r="CK349" s="51"/>
      <c r="CL349" s="51"/>
      <c r="CM349" s="51"/>
      <c r="CN349" s="51"/>
      <c r="CO349" s="51"/>
      <c r="CP349" s="51"/>
      <c r="CQ349" s="51"/>
      <c r="CR349" s="51"/>
      <c r="CS349" s="51"/>
      <c r="CT349" s="42" t="str">
        <f>IFERROR(('基本数据输入&amp;测算结果'!$C$19*7-AVERAGE(B349:Y349,CP349:CS349)*7-'基本数据输入&amp;测算结果'!$C$23*7)/'基本数据输入&amp;测算结果'!$C$21*'基本数据输入&amp;测算结果'!$C$22,"无数据/数据缺失")</f>
        <v>无数据/数据缺失</v>
      </c>
      <c r="CU349" s="42">
        <f>IF(CT349&lt;0,0,IF(CT349="无数据/数据缺失",0%,IF(CT349&gt;'基本数据输入&amp;测算结果'!$C$20,100%,CT349/'基本数据输入&amp;测算结果'!$C$20)))</f>
        <v>0</v>
      </c>
      <c r="CV349" s="42" t="str">
        <f>IFERROR((AVERAGE(Z349:AW349)*6-'基本数据输入&amp;测算结果'!$C$24*6)/'基本数据输入&amp;测算结果'!$C$21/'基本数据输入&amp;测算结果'!$C$22,"无数据/数据缺失")</f>
        <v>无数据/数据缺失</v>
      </c>
      <c r="CW349" s="42">
        <f>IF(CV349&lt;0,0,IF(CV349="无数据/数据缺失",0%,IF(CV349&gt;'基本数据输入&amp;测算结果'!$C$20*CU349,CU349,CV349/'基本数据输入&amp;测算结果'!$C$20*CU349)))</f>
        <v>0</v>
      </c>
      <c r="CX349" s="42" t="str">
        <f>IFERROR(('基本数据输入&amp;测算结果'!$C$19*2-AVERAGE(AX349:BE349)*2-'基本数据输入&amp;测算结果'!$C$23*2)/'基本数据输入&amp;测算结果'!$C$21*'基本数据输入&amp;测算结果'!$C$22,"无数据/数据缺失")</f>
        <v>无数据/数据缺失</v>
      </c>
      <c r="CY349" s="42">
        <f>IF(CX349&lt;0,0,IF(CX349="无数据/数据缺失",0%,IF(CX349&gt;'基本数据输入&amp;测算结果'!$C$20,100%,CX349/'基本数据输入&amp;测算结果'!$C$20)))</f>
        <v>0</v>
      </c>
      <c r="CZ349" s="42" t="str">
        <f>IFERROR((AVERAGE(BJ349:CO349)*8-'基本数据输入&amp;测算结果'!$C$24*8)/'基本数据输入&amp;测算结果'!$C$21/'基本数据输入&amp;测算结果'!$C$22,"无数据/数据缺失")</f>
        <v>无数据/数据缺失</v>
      </c>
      <c r="DA349" s="42">
        <f>IF(CZ349&lt;0,0,IF(CZ349="无数据/数据缺失",0,IF('基本数据输入&amp;测算结果'!$C$20*CY349&gt;CZ349,CZ349/'基本数据输入&amp;测算结果'!$C$20*CY349,CY349)))</f>
        <v>0</v>
      </c>
      <c r="DB349" s="49">
        <f t="shared" si="14"/>
        <v>0</v>
      </c>
      <c r="DC349" s="50"/>
      <c r="DD349" s="50"/>
    </row>
    <row r="350" customHeight="1" spans="1:108">
      <c r="A350" s="48" t="s">
        <v>392</v>
      </c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  <c r="AL350" s="51"/>
      <c r="AM350" s="51"/>
      <c r="AN350" s="51"/>
      <c r="AO350" s="51"/>
      <c r="AP350" s="51"/>
      <c r="AQ350" s="51"/>
      <c r="AR350" s="51"/>
      <c r="AS350" s="51"/>
      <c r="AT350" s="51"/>
      <c r="AU350" s="51"/>
      <c r="AV350" s="51"/>
      <c r="AW350" s="51"/>
      <c r="AX350" s="51"/>
      <c r="AY350" s="51"/>
      <c r="AZ350" s="51"/>
      <c r="BA350" s="51"/>
      <c r="BB350" s="51"/>
      <c r="BC350" s="51"/>
      <c r="BD350" s="51"/>
      <c r="BE350" s="51"/>
      <c r="BF350" s="51"/>
      <c r="BG350" s="51"/>
      <c r="BH350" s="51"/>
      <c r="BI350" s="51"/>
      <c r="BJ350" s="51"/>
      <c r="BK350" s="51"/>
      <c r="BL350" s="51"/>
      <c r="BM350" s="51"/>
      <c r="BN350" s="51"/>
      <c r="BO350" s="51"/>
      <c r="BP350" s="51"/>
      <c r="BQ350" s="51"/>
      <c r="BR350" s="51"/>
      <c r="BS350" s="51"/>
      <c r="BT350" s="51"/>
      <c r="BU350" s="51"/>
      <c r="BV350" s="51"/>
      <c r="BW350" s="51"/>
      <c r="BX350" s="51"/>
      <c r="BY350" s="51"/>
      <c r="BZ350" s="51"/>
      <c r="CA350" s="51"/>
      <c r="CB350" s="51"/>
      <c r="CC350" s="51"/>
      <c r="CD350" s="51"/>
      <c r="CE350" s="51"/>
      <c r="CF350" s="51"/>
      <c r="CG350" s="51"/>
      <c r="CH350" s="51"/>
      <c r="CI350" s="51"/>
      <c r="CJ350" s="51"/>
      <c r="CK350" s="51"/>
      <c r="CL350" s="51"/>
      <c r="CM350" s="51"/>
      <c r="CN350" s="51"/>
      <c r="CO350" s="51"/>
      <c r="CP350" s="51"/>
      <c r="CQ350" s="51"/>
      <c r="CR350" s="51"/>
      <c r="CS350" s="51"/>
      <c r="CT350" s="42" t="str">
        <f>IFERROR(('基本数据输入&amp;测算结果'!$C$19*7-AVERAGE(B350:Y350,CP350:CS350)*7-'基本数据输入&amp;测算结果'!$C$23*7)/'基本数据输入&amp;测算结果'!$C$21*'基本数据输入&amp;测算结果'!$C$22,"无数据/数据缺失")</f>
        <v>无数据/数据缺失</v>
      </c>
      <c r="CU350" s="42">
        <f>IF(CT350&lt;0,0,IF(CT350="无数据/数据缺失",0%,IF(CT350&gt;'基本数据输入&amp;测算结果'!$C$20,100%,CT350/'基本数据输入&amp;测算结果'!$C$20)))</f>
        <v>0</v>
      </c>
      <c r="CV350" s="42" t="str">
        <f>IFERROR((AVERAGE(Z350:AW350)*6-'基本数据输入&amp;测算结果'!$C$24*6)/'基本数据输入&amp;测算结果'!$C$21/'基本数据输入&amp;测算结果'!$C$22,"无数据/数据缺失")</f>
        <v>无数据/数据缺失</v>
      </c>
      <c r="CW350" s="42">
        <f>IF(CV350&lt;0,0,IF(CV350="无数据/数据缺失",0%,IF(CV350&gt;'基本数据输入&amp;测算结果'!$C$20*CU350,CU350,CV350/'基本数据输入&amp;测算结果'!$C$20*CU350)))</f>
        <v>0</v>
      </c>
      <c r="CX350" s="42" t="str">
        <f>IFERROR(('基本数据输入&amp;测算结果'!$C$19*2-AVERAGE(AX350:BE350)*2-'基本数据输入&amp;测算结果'!$C$23*2)/'基本数据输入&amp;测算结果'!$C$21*'基本数据输入&amp;测算结果'!$C$22,"无数据/数据缺失")</f>
        <v>无数据/数据缺失</v>
      </c>
      <c r="CY350" s="42">
        <f>IF(CX350&lt;0,0,IF(CX350="无数据/数据缺失",0%,IF(CX350&gt;'基本数据输入&amp;测算结果'!$C$20,100%,CX350/'基本数据输入&amp;测算结果'!$C$20)))</f>
        <v>0</v>
      </c>
      <c r="CZ350" s="42" t="str">
        <f>IFERROR((AVERAGE(BJ350:CO350)*8-'基本数据输入&amp;测算结果'!$C$24*8)/'基本数据输入&amp;测算结果'!$C$21/'基本数据输入&amp;测算结果'!$C$22,"无数据/数据缺失")</f>
        <v>无数据/数据缺失</v>
      </c>
      <c r="DA350" s="42">
        <f>IF(CZ350&lt;0,0,IF(CZ350="无数据/数据缺失",0,IF('基本数据输入&amp;测算结果'!$C$20*CY350&gt;CZ350,CZ350/'基本数据输入&amp;测算结果'!$C$20*CY350,CY350)))</f>
        <v>0</v>
      </c>
      <c r="DB350" s="49">
        <f t="shared" si="14"/>
        <v>0</v>
      </c>
      <c r="DC350" s="50">
        <f>IF(DA350=0,0,IF(AVERAGE(BZ350:CG350)*2&gt;'基本数据输入&amp;测算结果'!$C$20*DA350,100%,AVERAGE(BZ350:CG350)*2/('基本数据输入&amp;测算结果'!$C$20*DA350)))</f>
        <v>0</v>
      </c>
      <c r="DD350" s="50"/>
    </row>
    <row r="351" customHeight="1" spans="1:108">
      <c r="A351" s="48" t="s">
        <v>393</v>
      </c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  <c r="AI351" s="51"/>
      <c r="AJ351" s="51"/>
      <c r="AK351" s="51"/>
      <c r="AL351" s="51"/>
      <c r="AM351" s="51"/>
      <c r="AN351" s="51"/>
      <c r="AO351" s="51"/>
      <c r="AP351" s="51"/>
      <c r="AQ351" s="51"/>
      <c r="AR351" s="51"/>
      <c r="AS351" s="51"/>
      <c r="AT351" s="51"/>
      <c r="AU351" s="51"/>
      <c r="AV351" s="51"/>
      <c r="AW351" s="51"/>
      <c r="AX351" s="51"/>
      <c r="AY351" s="51"/>
      <c r="AZ351" s="51"/>
      <c r="BA351" s="51"/>
      <c r="BB351" s="51"/>
      <c r="BC351" s="51"/>
      <c r="BD351" s="51"/>
      <c r="BE351" s="51"/>
      <c r="BF351" s="51"/>
      <c r="BG351" s="51"/>
      <c r="BH351" s="51"/>
      <c r="BI351" s="51"/>
      <c r="BJ351" s="51"/>
      <c r="BK351" s="51"/>
      <c r="BL351" s="51"/>
      <c r="BM351" s="51"/>
      <c r="BN351" s="51"/>
      <c r="BO351" s="51"/>
      <c r="BP351" s="51"/>
      <c r="BQ351" s="51"/>
      <c r="BR351" s="51"/>
      <c r="BS351" s="51"/>
      <c r="BT351" s="51"/>
      <c r="BU351" s="51"/>
      <c r="BV351" s="51"/>
      <c r="BW351" s="51"/>
      <c r="BX351" s="51"/>
      <c r="BY351" s="51"/>
      <c r="BZ351" s="51"/>
      <c r="CA351" s="51"/>
      <c r="CB351" s="51"/>
      <c r="CC351" s="51"/>
      <c r="CD351" s="51"/>
      <c r="CE351" s="51"/>
      <c r="CF351" s="51"/>
      <c r="CG351" s="51"/>
      <c r="CH351" s="51"/>
      <c r="CI351" s="51"/>
      <c r="CJ351" s="51"/>
      <c r="CK351" s="51"/>
      <c r="CL351" s="51"/>
      <c r="CM351" s="51"/>
      <c r="CN351" s="51"/>
      <c r="CO351" s="51"/>
      <c r="CP351" s="51"/>
      <c r="CQ351" s="51"/>
      <c r="CR351" s="51"/>
      <c r="CS351" s="51"/>
      <c r="CT351" s="42" t="str">
        <f>IFERROR(('基本数据输入&amp;测算结果'!$C$19*7-AVERAGE(B351:Y351,CP351:CS351)*7-'基本数据输入&amp;测算结果'!$C$23*7)/'基本数据输入&amp;测算结果'!$C$21*'基本数据输入&amp;测算结果'!$C$22,"无数据/数据缺失")</f>
        <v>无数据/数据缺失</v>
      </c>
      <c r="CU351" s="42">
        <f>IF(CT351&lt;0,0,IF(CT351="无数据/数据缺失",0%,IF(CT351&gt;'基本数据输入&amp;测算结果'!$C$20,100%,CT351/'基本数据输入&amp;测算结果'!$C$20)))</f>
        <v>0</v>
      </c>
      <c r="CV351" s="42" t="str">
        <f>IFERROR((AVERAGE(Z351:AW351)*6-'基本数据输入&amp;测算结果'!$C$24*6)/'基本数据输入&amp;测算结果'!$C$21/'基本数据输入&amp;测算结果'!$C$22,"无数据/数据缺失")</f>
        <v>无数据/数据缺失</v>
      </c>
      <c r="CW351" s="42">
        <f>IF(CV351&lt;0,0,IF(CV351="无数据/数据缺失",0%,IF(CV351&gt;'基本数据输入&amp;测算结果'!$C$20*CU351,CU351,CV351/'基本数据输入&amp;测算结果'!$C$20*CU351)))</f>
        <v>0</v>
      </c>
      <c r="CX351" s="42" t="str">
        <f>IFERROR(('基本数据输入&amp;测算结果'!$C$19*2-AVERAGE(AX351:BE351)*2-'基本数据输入&amp;测算结果'!$C$23*2)/'基本数据输入&amp;测算结果'!$C$21*'基本数据输入&amp;测算结果'!$C$22,"无数据/数据缺失")</f>
        <v>无数据/数据缺失</v>
      </c>
      <c r="CY351" s="42">
        <f>IF(CX351&lt;0,0,IF(CX351="无数据/数据缺失",0%,IF(CX351&gt;'基本数据输入&amp;测算结果'!$C$20,100%,CX351/'基本数据输入&amp;测算结果'!$C$20)))</f>
        <v>0</v>
      </c>
      <c r="CZ351" s="42" t="str">
        <f>IFERROR((AVERAGE(BJ351:CO351)*8-'基本数据输入&amp;测算结果'!$C$24*8)/'基本数据输入&amp;测算结果'!$C$21/'基本数据输入&amp;测算结果'!$C$22,"无数据/数据缺失")</f>
        <v>无数据/数据缺失</v>
      </c>
      <c r="DA351" s="42">
        <f>IF(CZ351&lt;0,0,IF(CZ351="无数据/数据缺失",0,IF('基本数据输入&amp;测算结果'!$C$20*CY351&gt;CZ351,CZ351/'基本数据输入&amp;测算结果'!$C$20*CY351,CY351)))</f>
        <v>0</v>
      </c>
      <c r="DB351" s="49">
        <f t="shared" si="14"/>
        <v>0</v>
      </c>
      <c r="DC351" s="50">
        <f>IF(DA351=0,0,IF(AVERAGE(BZ351:CG351)*2&gt;'基本数据输入&amp;测算结果'!$C$20*DA351,100%,AVERAGE(BZ351:CG351)*2/('基本数据输入&amp;测算结果'!$C$20*DA351)))</f>
        <v>0</v>
      </c>
      <c r="DD351" s="50"/>
    </row>
    <row r="352" customHeight="1" spans="1:108">
      <c r="A352" s="48" t="s">
        <v>394</v>
      </c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1"/>
      <c r="AI352" s="51"/>
      <c r="AJ352" s="51"/>
      <c r="AK352" s="51"/>
      <c r="AL352" s="51"/>
      <c r="AM352" s="51"/>
      <c r="AN352" s="51"/>
      <c r="AO352" s="51"/>
      <c r="AP352" s="51"/>
      <c r="AQ352" s="51"/>
      <c r="AR352" s="51"/>
      <c r="AS352" s="51"/>
      <c r="AT352" s="51"/>
      <c r="AU352" s="51"/>
      <c r="AV352" s="51"/>
      <c r="AW352" s="51"/>
      <c r="AX352" s="51"/>
      <c r="AY352" s="51"/>
      <c r="AZ352" s="51"/>
      <c r="BA352" s="51"/>
      <c r="BB352" s="51"/>
      <c r="BC352" s="51"/>
      <c r="BD352" s="51"/>
      <c r="BE352" s="51"/>
      <c r="BF352" s="51"/>
      <c r="BG352" s="51"/>
      <c r="BH352" s="51"/>
      <c r="BI352" s="51"/>
      <c r="BJ352" s="51"/>
      <c r="BK352" s="51"/>
      <c r="BL352" s="51"/>
      <c r="BM352" s="51"/>
      <c r="BN352" s="51"/>
      <c r="BO352" s="51"/>
      <c r="BP352" s="51"/>
      <c r="BQ352" s="51"/>
      <c r="BR352" s="51"/>
      <c r="BS352" s="51"/>
      <c r="BT352" s="51"/>
      <c r="BU352" s="51"/>
      <c r="BV352" s="51"/>
      <c r="BW352" s="51"/>
      <c r="BX352" s="51"/>
      <c r="BY352" s="51"/>
      <c r="BZ352" s="51"/>
      <c r="CA352" s="51"/>
      <c r="CB352" s="51"/>
      <c r="CC352" s="51"/>
      <c r="CD352" s="51"/>
      <c r="CE352" s="51"/>
      <c r="CF352" s="51"/>
      <c r="CG352" s="51"/>
      <c r="CH352" s="51"/>
      <c r="CI352" s="51"/>
      <c r="CJ352" s="51"/>
      <c r="CK352" s="51"/>
      <c r="CL352" s="51"/>
      <c r="CM352" s="51"/>
      <c r="CN352" s="51"/>
      <c r="CO352" s="51"/>
      <c r="CP352" s="51"/>
      <c r="CQ352" s="51"/>
      <c r="CR352" s="51"/>
      <c r="CS352" s="51"/>
      <c r="CT352" s="42" t="str">
        <f>IFERROR(('基本数据输入&amp;测算结果'!$C$19*7-AVERAGE(B352:Y352,CP352:CS352)*7-'基本数据输入&amp;测算结果'!$C$23*7)/'基本数据输入&amp;测算结果'!$C$21*'基本数据输入&amp;测算结果'!$C$22,"无数据/数据缺失")</f>
        <v>无数据/数据缺失</v>
      </c>
      <c r="CU352" s="42">
        <f>IF(CT352&lt;0,0,IF(CT352="无数据/数据缺失",0%,IF(CT352&gt;'基本数据输入&amp;测算结果'!$C$20,100%,CT352/'基本数据输入&amp;测算结果'!$C$20)))</f>
        <v>0</v>
      </c>
      <c r="CV352" s="42" t="str">
        <f>IFERROR((AVERAGE(Z352:AW352)*6-'基本数据输入&amp;测算结果'!$C$24*6)/'基本数据输入&amp;测算结果'!$C$21/'基本数据输入&amp;测算结果'!$C$22,"无数据/数据缺失")</f>
        <v>无数据/数据缺失</v>
      </c>
      <c r="CW352" s="42">
        <f>IF(CV352&lt;0,0,IF(CV352="无数据/数据缺失",0%,IF(CV352&gt;'基本数据输入&amp;测算结果'!$C$20*CU352,CU352,CV352/'基本数据输入&amp;测算结果'!$C$20*CU352)))</f>
        <v>0</v>
      </c>
      <c r="CX352" s="42" t="str">
        <f>IFERROR(('基本数据输入&amp;测算结果'!$C$19*2-AVERAGE(AX352:BE352)*2-'基本数据输入&amp;测算结果'!$C$23*2)/'基本数据输入&amp;测算结果'!$C$21*'基本数据输入&amp;测算结果'!$C$22,"无数据/数据缺失")</f>
        <v>无数据/数据缺失</v>
      </c>
      <c r="CY352" s="42">
        <f>IF(CX352&lt;0,0,IF(CX352="无数据/数据缺失",0%,IF(CX352&gt;'基本数据输入&amp;测算结果'!$C$20,100%,CX352/'基本数据输入&amp;测算结果'!$C$20)))</f>
        <v>0</v>
      </c>
      <c r="CZ352" s="42" t="str">
        <f>IFERROR((AVERAGE(BJ352:CO352)*8-'基本数据输入&amp;测算结果'!$C$24*8)/'基本数据输入&amp;测算结果'!$C$21/'基本数据输入&amp;测算结果'!$C$22,"无数据/数据缺失")</f>
        <v>无数据/数据缺失</v>
      </c>
      <c r="DA352" s="42">
        <f>IF(CZ352&lt;0,0,IF(CZ352="无数据/数据缺失",0,IF('基本数据输入&amp;测算结果'!$C$20*CY352&gt;CZ352,CZ352/'基本数据输入&amp;测算结果'!$C$20*CY352,CY352)))</f>
        <v>0</v>
      </c>
      <c r="DB352" s="49">
        <f t="shared" si="14"/>
        <v>0</v>
      </c>
      <c r="DC352" s="50">
        <f>IF(DA352=0,0,IF(AVERAGE(BZ352:CG352)*2&gt;'基本数据输入&amp;测算结果'!$C$20*DA352,100%,AVERAGE(BZ352:CG352)*2/('基本数据输入&amp;测算结果'!$C$20*DA352)))</f>
        <v>0</v>
      </c>
      <c r="DD352" s="50"/>
    </row>
    <row r="353" customHeight="1" spans="1:108">
      <c r="A353" s="48" t="s">
        <v>395</v>
      </c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/>
      <c r="AI353" s="51"/>
      <c r="AJ353" s="51"/>
      <c r="AK353" s="51"/>
      <c r="AL353" s="51"/>
      <c r="AM353" s="51"/>
      <c r="AN353" s="51"/>
      <c r="AO353" s="51"/>
      <c r="AP353" s="51"/>
      <c r="AQ353" s="51"/>
      <c r="AR353" s="51"/>
      <c r="AS353" s="51"/>
      <c r="AT353" s="51"/>
      <c r="AU353" s="51"/>
      <c r="AV353" s="51"/>
      <c r="AW353" s="51"/>
      <c r="AX353" s="51"/>
      <c r="AY353" s="51"/>
      <c r="AZ353" s="51"/>
      <c r="BA353" s="51"/>
      <c r="BB353" s="51"/>
      <c r="BC353" s="51"/>
      <c r="BD353" s="51"/>
      <c r="BE353" s="51"/>
      <c r="BF353" s="51"/>
      <c r="BG353" s="51"/>
      <c r="BH353" s="51"/>
      <c r="BI353" s="51"/>
      <c r="BJ353" s="51"/>
      <c r="BK353" s="51"/>
      <c r="BL353" s="51"/>
      <c r="BM353" s="51"/>
      <c r="BN353" s="51"/>
      <c r="BO353" s="51"/>
      <c r="BP353" s="51"/>
      <c r="BQ353" s="51"/>
      <c r="BR353" s="51"/>
      <c r="BS353" s="51"/>
      <c r="BT353" s="51"/>
      <c r="BU353" s="51"/>
      <c r="BV353" s="51"/>
      <c r="BW353" s="51"/>
      <c r="BX353" s="51"/>
      <c r="BY353" s="51"/>
      <c r="BZ353" s="51"/>
      <c r="CA353" s="51"/>
      <c r="CB353" s="51"/>
      <c r="CC353" s="51"/>
      <c r="CD353" s="51"/>
      <c r="CE353" s="51"/>
      <c r="CF353" s="51"/>
      <c r="CG353" s="51"/>
      <c r="CH353" s="51"/>
      <c r="CI353" s="51"/>
      <c r="CJ353" s="51"/>
      <c r="CK353" s="51"/>
      <c r="CL353" s="51"/>
      <c r="CM353" s="51"/>
      <c r="CN353" s="51"/>
      <c r="CO353" s="51"/>
      <c r="CP353" s="51"/>
      <c r="CQ353" s="51"/>
      <c r="CR353" s="51"/>
      <c r="CS353" s="51"/>
      <c r="CT353" s="42" t="str">
        <f>IFERROR(('基本数据输入&amp;测算结果'!$C$19*7-AVERAGE(B353:Y353,CP353:CS353)*7-'基本数据输入&amp;测算结果'!$C$23*7)/'基本数据输入&amp;测算结果'!$C$21*'基本数据输入&amp;测算结果'!$C$22,"无数据/数据缺失")</f>
        <v>无数据/数据缺失</v>
      </c>
      <c r="CU353" s="42">
        <f>IF(CT353&lt;0,0,IF(CT353="无数据/数据缺失",0%,IF(CT353&gt;'基本数据输入&amp;测算结果'!$C$20,100%,CT353/'基本数据输入&amp;测算结果'!$C$20)))</f>
        <v>0</v>
      </c>
      <c r="CV353" s="42" t="str">
        <f>IFERROR((AVERAGE(Z353:AW353)*6-'基本数据输入&amp;测算结果'!$C$24*6)/'基本数据输入&amp;测算结果'!$C$21/'基本数据输入&amp;测算结果'!$C$22,"无数据/数据缺失")</f>
        <v>无数据/数据缺失</v>
      </c>
      <c r="CW353" s="42">
        <f>IF(CV353&lt;0,0,IF(CV353="无数据/数据缺失",0%,IF(CV353&gt;'基本数据输入&amp;测算结果'!$C$20*CU353,CU353,CV353/'基本数据输入&amp;测算结果'!$C$20*CU353)))</f>
        <v>0</v>
      </c>
      <c r="CX353" s="42" t="str">
        <f>IFERROR(('基本数据输入&amp;测算结果'!$C$19*2-AVERAGE(AX353:BE353)*2-'基本数据输入&amp;测算结果'!$C$23*2)/'基本数据输入&amp;测算结果'!$C$21*'基本数据输入&amp;测算结果'!$C$22,"无数据/数据缺失")</f>
        <v>无数据/数据缺失</v>
      </c>
      <c r="CY353" s="42">
        <f>IF(CX353&lt;0,0,IF(CX353="无数据/数据缺失",0%,IF(CX353&gt;'基本数据输入&amp;测算结果'!$C$20,100%,CX353/'基本数据输入&amp;测算结果'!$C$20)))</f>
        <v>0</v>
      </c>
      <c r="CZ353" s="42" t="str">
        <f>IFERROR((AVERAGE(BJ353:CO353)*8-'基本数据输入&amp;测算结果'!$C$24*8)/'基本数据输入&amp;测算结果'!$C$21/'基本数据输入&amp;测算结果'!$C$22,"无数据/数据缺失")</f>
        <v>无数据/数据缺失</v>
      </c>
      <c r="DA353" s="42">
        <f>IF(CZ353&lt;0,0,IF(CZ353="无数据/数据缺失",0,IF('基本数据输入&amp;测算结果'!$C$20*CY353&gt;CZ353,CZ353/'基本数据输入&amp;测算结果'!$C$20*CY353,CY353)))</f>
        <v>0</v>
      </c>
      <c r="DB353" s="49">
        <f t="shared" si="14"/>
        <v>0</v>
      </c>
      <c r="DC353" s="50">
        <f>IF(DA353=0,0,IF(AVERAGE(BZ353:CG353)*2&gt;'基本数据输入&amp;测算结果'!$C$20*DA353,100%,AVERAGE(BZ353:CG353)*2/('基本数据输入&amp;测算结果'!$C$20*DA353)))</f>
        <v>0</v>
      </c>
      <c r="DD353" s="50"/>
    </row>
    <row r="354" customHeight="1" spans="1:108">
      <c r="A354" s="48" t="s">
        <v>396</v>
      </c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1"/>
      <c r="AI354" s="51"/>
      <c r="AJ354" s="51"/>
      <c r="AK354" s="51"/>
      <c r="AL354" s="51"/>
      <c r="AM354" s="51"/>
      <c r="AN354" s="51"/>
      <c r="AO354" s="51"/>
      <c r="AP354" s="51"/>
      <c r="AQ354" s="51"/>
      <c r="AR354" s="51"/>
      <c r="AS354" s="51"/>
      <c r="AT354" s="51"/>
      <c r="AU354" s="51"/>
      <c r="AV354" s="51"/>
      <c r="AW354" s="51"/>
      <c r="AX354" s="51"/>
      <c r="AY354" s="51"/>
      <c r="AZ354" s="51"/>
      <c r="BA354" s="51"/>
      <c r="BB354" s="51"/>
      <c r="BC354" s="51"/>
      <c r="BD354" s="51"/>
      <c r="BE354" s="51"/>
      <c r="BF354" s="51"/>
      <c r="BG354" s="51"/>
      <c r="BH354" s="51"/>
      <c r="BI354" s="51"/>
      <c r="BJ354" s="51"/>
      <c r="BK354" s="51"/>
      <c r="BL354" s="51"/>
      <c r="BM354" s="51"/>
      <c r="BN354" s="51"/>
      <c r="BO354" s="51"/>
      <c r="BP354" s="51"/>
      <c r="BQ354" s="51"/>
      <c r="BR354" s="51"/>
      <c r="BS354" s="51"/>
      <c r="BT354" s="51"/>
      <c r="BU354" s="51"/>
      <c r="BV354" s="51"/>
      <c r="BW354" s="51"/>
      <c r="BX354" s="51"/>
      <c r="BY354" s="51"/>
      <c r="BZ354" s="51"/>
      <c r="CA354" s="51"/>
      <c r="CB354" s="51"/>
      <c r="CC354" s="51"/>
      <c r="CD354" s="51"/>
      <c r="CE354" s="51"/>
      <c r="CF354" s="51"/>
      <c r="CG354" s="51"/>
      <c r="CH354" s="51"/>
      <c r="CI354" s="51"/>
      <c r="CJ354" s="51"/>
      <c r="CK354" s="51"/>
      <c r="CL354" s="51"/>
      <c r="CM354" s="51"/>
      <c r="CN354" s="51"/>
      <c r="CO354" s="51"/>
      <c r="CP354" s="51"/>
      <c r="CQ354" s="51"/>
      <c r="CR354" s="51"/>
      <c r="CS354" s="51"/>
      <c r="CT354" s="42" t="str">
        <f>IFERROR(('基本数据输入&amp;测算结果'!$C$19*7-AVERAGE(B354:Y354,CP354:CS354)*7-'基本数据输入&amp;测算结果'!$C$23*7)/'基本数据输入&amp;测算结果'!$C$21*'基本数据输入&amp;测算结果'!$C$22,"无数据/数据缺失")</f>
        <v>无数据/数据缺失</v>
      </c>
      <c r="CU354" s="42">
        <f>IF(CT354&lt;0,0,IF(CT354="无数据/数据缺失",0%,IF(CT354&gt;'基本数据输入&amp;测算结果'!$C$20,100%,CT354/'基本数据输入&amp;测算结果'!$C$20)))</f>
        <v>0</v>
      </c>
      <c r="CV354" s="42" t="str">
        <f>IFERROR((AVERAGE(Z354:AW354)*6-'基本数据输入&amp;测算结果'!$C$24*6)/'基本数据输入&amp;测算结果'!$C$21/'基本数据输入&amp;测算结果'!$C$22,"无数据/数据缺失")</f>
        <v>无数据/数据缺失</v>
      </c>
      <c r="CW354" s="42">
        <f>IF(CV354&lt;0,0,IF(CV354="无数据/数据缺失",0%,IF(CV354&gt;'基本数据输入&amp;测算结果'!$C$20*CU354,CU354,CV354/'基本数据输入&amp;测算结果'!$C$20*CU354)))</f>
        <v>0</v>
      </c>
      <c r="CX354" s="42" t="str">
        <f>IFERROR(('基本数据输入&amp;测算结果'!$C$19*2-AVERAGE(AX354:BE354)*2-'基本数据输入&amp;测算结果'!$C$23*2)/'基本数据输入&amp;测算结果'!$C$21*'基本数据输入&amp;测算结果'!$C$22,"无数据/数据缺失")</f>
        <v>无数据/数据缺失</v>
      </c>
      <c r="CY354" s="42">
        <f>IF(CX354&lt;0,0,IF(CX354="无数据/数据缺失",0%,IF(CX354&gt;'基本数据输入&amp;测算结果'!$C$20,100%,CX354/'基本数据输入&amp;测算结果'!$C$20)))</f>
        <v>0</v>
      </c>
      <c r="CZ354" s="42" t="str">
        <f>IFERROR((AVERAGE(BJ354:CO354)*8-'基本数据输入&amp;测算结果'!$C$24*8)/'基本数据输入&amp;测算结果'!$C$21/'基本数据输入&amp;测算结果'!$C$22,"无数据/数据缺失")</f>
        <v>无数据/数据缺失</v>
      </c>
      <c r="DA354" s="42">
        <f>IF(CZ354&lt;0,0,IF(CZ354="无数据/数据缺失",0,IF('基本数据输入&amp;测算结果'!$C$20*CY354&gt;CZ354,CZ354/'基本数据输入&amp;测算结果'!$C$20*CY354,CY354)))</f>
        <v>0</v>
      </c>
      <c r="DB354" s="49">
        <f t="shared" si="14"/>
        <v>0</v>
      </c>
      <c r="DC354" s="50">
        <f>IF(DA354=0,0,IF(AVERAGE(BZ354:CG354)*2&gt;'基本数据输入&amp;测算结果'!$C$20*DA354,100%,AVERAGE(BZ354:CG354)*2/('基本数据输入&amp;测算结果'!$C$20*DA354)))</f>
        <v>0</v>
      </c>
      <c r="DD354" s="50"/>
    </row>
    <row r="355" customHeight="1" spans="1:108">
      <c r="A355" s="48" t="s">
        <v>397</v>
      </c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  <c r="AL355" s="51"/>
      <c r="AM355" s="51"/>
      <c r="AN355" s="51"/>
      <c r="AO355" s="51"/>
      <c r="AP355" s="51"/>
      <c r="AQ355" s="51"/>
      <c r="AR355" s="51"/>
      <c r="AS355" s="51"/>
      <c r="AT355" s="51"/>
      <c r="AU355" s="51"/>
      <c r="AV355" s="51"/>
      <c r="AW355" s="51"/>
      <c r="AX355" s="51"/>
      <c r="AY355" s="51"/>
      <c r="AZ355" s="51"/>
      <c r="BA355" s="51"/>
      <c r="BB355" s="51"/>
      <c r="BC355" s="51"/>
      <c r="BD355" s="51"/>
      <c r="BE355" s="51"/>
      <c r="BF355" s="51"/>
      <c r="BG355" s="51"/>
      <c r="BH355" s="51"/>
      <c r="BI355" s="51"/>
      <c r="BJ355" s="51"/>
      <c r="BK355" s="51"/>
      <c r="BL355" s="51"/>
      <c r="BM355" s="51"/>
      <c r="BN355" s="51"/>
      <c r="BO355" s="51"/>
      <c r="BP355" s="51"/>
      <c r="BQ355" s="51"/>
      <c r="BR355" s="51"/>
      <c r="BS355" s="51"/>
      <c r="BT355" s="51"/>
      <c r="BU355" s="51"/>
      <c r="BV355" s="51"/>
      <c r="BW355" s="51"/>
      <c r="BX355" s="51"/>
      <c r="BY355" s="51"/>
      <c r="BZ355" s="51"/>
      <c r="CA355" s="51"/>
      <c r="CB355" s="51"/>
      <c r="CC355" s="51"/>
      <c r="CD355" s="51"/>
      <c r="CE355" s="51"/>
      <c r="CF355" s="51"/>
      <c r="CG355" s="51"/>
      <c r="CH355" s="51"/>
      <c r="CI355" s="51"/>
      <c r="CJ355" s="51"/>
      <c r="CK355" s="51"/>
      <c r="CL355" s="51"/>
      <c r="CM355" s="51"/>
      <c r="CN355" s="51"/>
      <c r="CO355" s="51"/>
      <c r="CP355" s="51"/>
      <c r="CQ355" s="51"/>
      <c r="CR355" s="51"/>
      <c r="CS355" s="51"/>
      <c r="CT355" s="42" t="str">
        <f>IFERROR(('基本数据输入&amp;测算结果'!$C$19*7-AVERAGE(B355:Y355,CP355:CS355)*7-'基本数据输入&amp;测算结果'!$C$23*7)/'基本数据输入&amp;测算结果'!$C$21*'基本数据输入&amp;测算结果'!$C$22,"无数据/数据缺失")</f>
        <v>无数据/数据缺失</v>
      </c>
      <c r="CU355" s="42">
        <f>IF(CT355&lt;0,0,IF(CT355="无数据/数据缺失",0%,IF(CT355&gt;'基本数据输入&amp;测算结果'!$C$20,100%,CT355/'基本数据输入&amp;测算结果'!$C$20)))</f>
        <v>0</v>
      </c>
      <c r="CV355" s="42" t="str">
        <f>IFERROR((AVERAGE(Z355:AW355)*6-'基本数据输入&amp;测算结果'!$C$24*6)/'基本数据输入&amp;测算结果'!$C$21/'基本数据输入&amp;测算结果'!$C$22,"无数据/数据缺失")</f>
        <v>无数据/数据缺失</v>
      </c>
      <c r="CW355" s="42">
        <f>IF(CV355&lt;0,0,IF(CV355="无数据/数据缺失",0%,IF(CV355&gt;'基本数据输入&amp;测算结果'!$C$20*CU355,CU355,CV355/'基本数据输入&amp;测算结果'!$C$20*CU355)))</f>
        <v>0</v>
      </c>
      <c r="CX355" s="42" t="str">
        <f>IFERROR(('基本数据输入&amp;测算结果'!$C$19*2-AVERAGE(AX355:BE355)*2-'基本数据输入&amp;测算结果'!$C$23*2)/'基本数据输入&amp;测算结果'!$C$21*'基本数据输入&amp;测算结果'!$C$22,"无数据/数据缺失")</f>
        <v>无数据/数据缺失</v>
      </c>
      <c r="CY355" s="42">
        <f>IF(CX355&lt;0,0,IF(CX355="无数据/数据缺失",0%,IF(CX355&gt;'基本数据输入&amp;测算结果'!$C$20,100%,CX355/'基本数据输入&amp;测算结果'!$C$20)))</f>
        <v>0</v>
      </c>
      <c r="CZ355" s="42" t="str">
        <f>IFERROR((AVERAGE(BJ355:CO355)*8-'基本数据输入&amp;测算结果'!$C$24*8)/'基本数据输入&amp;测算结果'!$C$21/'基本数据输入&amp;测算结果'!$C$22,"无数据/数据缺失")</f>
        <v>无数据/数据缺失</v>
      </c>
      <c r="DA355" s="42">
        <f>IF(CZ355&lt;0,0,IF(CZ355="无数据/数据缺失",0,IF('基本数据输入&amp;测算结果'!$C$20*CY355&gt;CZ355,CZ355/'基本数据输入&amp;测算结果'!$C$20*CY355,CY355)))</f>
        <v>0</v>
      </c>
      <c r="DB355" s="49">
        <f t="shared" si="14"/>
        <v>0</v>
      </c>
      <c r="DC355" s="50">
        <f>IF(DA355=0,0,IF(AVERAGE(BZ355:CG355)*2&gt;'基本数据输入&amp;测算结果'!$C$20*DA355,100%,AVERAGE(BZ355:CG355)*2/('基本数据输入&amp;测算结果'!$C$20*DA355)))</f>
        <v>0</v>
      </c>
      <c r="DD355" s="50"/>
    </row>
    <row r="356" customHeight="1" spans="1:108">
      <c r="A356" s="48" t="s">
        <v>398</v>
      </c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  <c r="AI356" s="51"/>
      <c r="AJ356" s="51"/>
      <c r="AK356" s="51"/>
      <c r="AL356" s="51"/>
      <c r="AM356" s="51"/>
      <c r="AN356" s="51"/>
      <c r="AO356" s="51"/>
      <c r="AP356" s="51"/>
      <c r="AQ356" s="51"/>
      <c r="AR356" s="51"/>
      <c r="AS356" s="51"/>
      <c r="AT356" s="51"/>
      <c r="AU356" s="51"/>
      <c r="AV356" s="51"/>
      <c r="AW356" s="51"/>
      <c r="AX356" s="51"/>
      <c r="AY356" s="51"/>
      <c r="AZ356" s="51"/>
      <c r="BA356" s="51"/>
      <c r="BB356" s="51"/>
      <c r="BC356" s="51"/>
      <c r="BD356" s="51"/>
      <c r="BE356" s="51"/>
      <c r="BF356" s="51"/>
      <c r="BG356" s="51"/>
      <c r="BH356" s="51"/>
      <c r="BI356" s="51"/>
      <c r="BJ356" s="51"/>
      <c r="BK356" s="51"/>
      <c r="BL356" s="51"/>
      <c r="BM356" s="51"/>
      <c r="BN356" s="51"/>
      <c r="BO356" s="51"/>
      <c r="BP356" s="51"/>
      <c r="BQ356" s="51"/>
      <c r="BR356" s="51"/>
      <c r="BS356" s="51"/>
      <c r="BT356" s="51"/>
      <c r="BU356" s="51"/>
      <c r="BV356" s="51"/>
      <c r="BW356" s="51"/>
      <c r="BX356" s="51"/>
      <c r="BY356" s="51"/>
      <c r="BZ356" s="51"/>
      <c r="CA356" s="51"/>
      <c r="CB356" s="51"/>
      <c r="CC356" s="51"/>
      <c r="CD356" s="51"/>
      <c r="CE356" s="51"/>
      <c r="CF356" s="51"/>
      <c r="CG356" s="51"/>
      <c r="CH356" s="51"/>
      <c r="CI356" s="51"/>
      <c r="CJ356" s="51"/>
      <c r="CK356" s="51"/>
      <c r="CL356" s="51"/>
      <c r="CM356" s="51"/>
      <c r="CN356" s="51"/>
      <c r="CO356" s="51"/>
      <c r="CP356" s="51"/>
      <c r="CQ356" s="51"/>
      <c r="CR356" s="51"/>
      <c r="CS356" s="51"/>
      <c r="CT356" s="42" t="str">
        <f>IFERROR(('基本数据输入&amp;测算结果'!$C$19*7-AVERAGE(B356:Y356,CP356:CS356)*7-'基本数据输入&amp;测算结果'!$C$23*7)/'基本数据输入&amp;测算结果'!$C$21*'基本数据输入&amp;测算结果'!$C$22,"无数据/数据缺失")</f>
        <v>无数据/数据缺失</v>
      </c>
      <c r="CU356" s="42">
        <f>IF(CT356&lt;0,0,IF(CT356="无数据/数据缺失",0%,IF(CT356&gt;'基本数据输入&amp;测算结果'!$C$20,100%,CT356/'基本数据输入&amp;测算结果'!$C$20)))</f>
        <v>0</v>
      </c>
      <c r="CV356" s="42" t="str">
        <f>IFERROR((AVERAGE(Z356:AW356)*6-'基本数据输入&amp;测算结果'!$C$24*6)/'基本数据输入&amp;测算结果'!$C$21/'基本数据输入&amp;测算结果'!$C$22,"无数据/数据缺失")</f>
        <v>无数据/数据缺失</v>
      </c>
      <c r="CW356" s="42">
        <f>IF(CV356&lt;0,0,IF(CV356="无数据/数据缺失",0%,IF(CV356&gt;'基本数据输入&amp;测算结果'!$C$20*CU356,CU356,CV356/'基本数据输入&amp;测算结果'!$C$20*CU356)))</f>
        <v>0</v>
      </c>
      <c r="CX356" s="42" t="str">
        <f>IFERROR(('基本数据输入&amp;测算结果'!$C$19*2-AVERAGE(AX356:BE356)*2-'基本数据输入&amp;测算结果'!$C$23*2)/'基本数据输入&amp;测算结果'!$C$21*'基本数据输入&amp;测算结果'!$C$22,"无数据/数据缺失")</f>
        <v>无数据/数据缺失</v>
      </c>
      <c r="CY356" s="42">
        <f>IF(CX356&lt;0,0,IF(CX356="无数据/数据缺失",0%,IF(CX356&gt;'基本数据输入&amp;测算结果'!$C$20,100%,CX356/'基本数据输入&amp;测算结果'!$C$20)))</f>
        <v>0</v>
      </c>
      <c r="CZ356" s="42" t="str">
        <f>IFERROR((AVERAGE(BJ356:CO356)*8-'基本数据输入&amp;测算结果'!$C$24*8)/'基本数据输入&amp;测算结果'!$C$21/'基本数据输入&amp;测算结果'!$C$22,"无数据/数据缺失")</f>
        <v>无数据/数据缺失</v>
      </c>
      <c r="DA356" s="42">
        <f>IF(CZ356&lt;0,0,IF(CZ356="无数据/数据缺失",0,IF('基本数据输入&amp;测算结果'!$C$20*CY356&gt;CZ356,CZ356/'基本数据输入&amp;测算结果'!$C$20*CY356,CY356)))</f>
        <v>0</v>
      </c>
      <c r="DB356" s="49">
        <f t="shared" si="14"/>
        <v>0</v>
      </c>
      <c r="DC356" s="50">
        <f>IF(DA356=0,0,IF(AVERAGE(BZ356:CG356)*2&gt;'基本数据输入&amp;测算结果'!$C$20*DA356,100%,AVERAGE(BZ356:CG356)*2/('基本数据输入&amp;测算结果'!$C$20*DA356)))</f>
        <v>0</v>
      </c>
      <c r="DD356" s="50"/>
    </row>
    <row r="357" customHeight="1" spans="1:108">
      <c r="A357" s="48" t="s">
        <v>399</v>
      </c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1"/>
      <c r="AI357" s="51"/>
      <c r="AJ357" s="51"/>
      <c r="AK357" s="51"/>
      <c r="AL357" s="51"/>
      <c r="AM357" s="51"/>
      <c r="AN357" s="51"/>
      <c r="AO357" s="51"/>
      <c r="AP357" s="51"/>
      <c r="AQ357" s="51"/>
      <c r="AR357" s="51"/>
      <c r="AS357" s="51"/>
      <c r="AT357" s="51"/>
      <c r="AU357" s="51"/>
      <c r="AV357" s="51"/>
      <c r="AW357" s="51"/>
      <c r="AX357" s="51"/>
      <c r="AY357" s="51"/>
      <c r="AZ357" s="51"/>
      <c r="BA357" s="51"/>
      <c r="BB357" s="51"/>
      <c r="BC357" s="51"/>
      <c r="BD357" s="51"/>
      <c r="BE357" s="51"/>
      <c r="BF357" s="51"/>
      <c r="BG357" s="51"/>
      <c r="BH357" s="51"/>
      <c r="BI357" s="51"/>
      <c r="BJ357" s="51"/>
      <c r="BK357" s="51"/>
      <c r="BL357" s="51"/>
      <c r="BM357" s="51"/>
      <c r="BN357" s="51"/>
      <c r="BO357" s="51"/>
      <c r="BP357" s="51"/>
      <c r="BQ357" s="51"/>
      <c r="BR357" s="51"/>
      <c r="BS357" s="51"/>
      <c r="BT357" s="51"/>
      <c r="BU357" s="51"/>
      <c r="BV357" s="51"/>
      <c r="BW357" s="51"/>
      <c r="BX357" s="51"/>
      <c r="BY357" s="51"/>
      <c r="BZ357" s="51"/>
      <c r="CA357" s="51"/>
      <c r="CB357" s="51"/>
      <c r="CC357" s="51"/>
      <c r="CD357" s="51"/>
      <c r="CE357" s="51"/>
      <c r="CF357" s="51"/>
      <c r="CG357" s="51"/>
      <c r="CH357" s="51"/>
      <c r="CI357" s="51"/>
      <c r="CJ357" s="51"/>
      <c r="CK357" s="51"/>
      <c r="CL357" s="51"/>
      <c r="CM357" s="51"/>
      <c r="CN357" s="51"/>
      <c r="CO357" s="51"/>
      <c r="CP357" s="51"/>
      <c r="CQ357" s="51"/>
      <c r="CR357" s="51"/>
      <c r="CS357" s="51"/>
      <c r="CT357" s="42" t="str">
        <f>IFERROR(('基本数据输入&amp;测算结果'!$C$19*7-AVERAGE(B357:Y357,CP357:CS357)*7-'基本数据输入&amp;测算结果'!$C$23*7)/'基本数据输入&amp;测算结果'!$C$21*'基本数据输入&amp;测算结果'!$C$22,"无数据/数据缺失")</f>
        <v>无数据/数据缺失</v>
      </c>
      <c r="CU357" s="42">
        <f>IF(CT357&lt;0,0,IF(CT357="无数据/数据缺失",0%,IF(CT357&gt;'基本数据输入&amp;测算结果'!$C$20,100%,CT357/'基本数据输入&amp;测算结果'!$C$20)))</f>
        <v>0</v>
      </c>
      <c r="CV357" s="42" t="str">
        <f>IFERROR((AVERAGE(Z357:AW357)*6-'基本数据输入&amp;测算结果'!$C$24*6)/'基本数据输入&amp;测算结果'!$C$21/'基本数据输入&amp;测算结果'!$C$22,"无数据/数据缺失")</f>
        <v>无数据/数据缺失</v>
      </c>
      <c r="CW357" s="42">
        <f>IF(CV357&lt;0,0,IF(CV357="无数据/数据缺失",0%,IF(CV357&gt;'基本数据输入&amp;测算结果'!$C$20*CU357,CU357,CV357/'基本数据输入&amp;测算结果'!$C$20*CU357)))</f>
        <v>0</v>
      </c>
      <c r="CX357" s="42" t="str">
        <f>IFERROR(('基本数据输入&amp;测算结果'!$C$19*2-AVERAGE(AX357:BE357)*2-'基本数据输入&amp;测算结果'!$C$23*2)/'基本数据输入&amp;测算结果'!$C$21*'基本数据输入&amp;测算结果'!$C$22,"无数据/数据缺失")</f>
        <v>无数据/数据缺失</v>
      </c>
      <c r="CY357" s="42">
        <f>IF(CX357&lt;0,0,IF(CX357="无数据/数据缺失",0%,IF(CX357&gt;'基本数据输入&amp;测算结果'!$C$20,100%,CX357/'基本数据输入&amp;测算结果'!$C$20)))</f>
        <v>0</v>
      </c>
      <c r="CZ357" s="42" t="str">
        <f>IFERROR((AVERAGE(BJ357:CO357)*8-'基本数据输入&amp;测算结果'!$C$24*8)/'基本数据输入&amp;测算结果'!$C$21/'基本数据输入&amp;测算结果'!$C$22,"无数据/数据缺失")</f>
        <v>无数据/数据缺失</v>
      </c>
      <c r="DA357" s="42">
        <f>IF(CZ357&lt;0,0,IF(CZ357="无数据/数据缺失",0,IF('基本数据输入&amp;测算结果'!$C$20*CY357&gt;CZ357,CZ357/'基本数据输入&amp;测算结果'!$C$20*CY357,CY357)))</f>
        <v>0</v>
      </c>
      <c r="DB357" s="49">
        <f t="shared" si="14"/>
        <v>0</v>
      </c>
      <c r="DC357" s="50">
        <f>IF(DA357=0,0,IF(AVERAGE(BZ357:CG357)*2&gt;'基本数据输入&amp;测算结果'!$C$20*DA357,100%,AVERAGE(BZ357:CG357)*2/('基本数据输入&amp;测算结果'!$C$20*DA357)))</f>
        <v>0</v>
      </c>
      <c r="DD357" s="50"/>
    </row>
    <row r="358" customHeight="1" spans="1:108">
      <c r="A358" s="48" t="s">
        <v>400</v>
      </c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1"/>
      <c r="AM358" s="51"/>
      <c r="AN358" s="51"/>
      <c r="AO358" s="51"/>
      <c r="AP358" s="51"/>
      <c r="AQ358" s="51"/>
      <c r="AR358" s="51"/>
      <c r="AS358" s="51"/>
      <c r="AT358" s="51"/>
      <c r="AU358" s="51"/>
      <c r="AV358" s="51"/>
      <c r="AW358" s="51"/>
      <c r="AX358" s="51"/>
      <c r="AY358" s="51"/>
      <c r="AZ358" s="51"/>
      <c r="BA358" s="51"/>
      <c r="BB358" s="51"/>
      <c r="BC358" s="51"/>
      <c r="BD358" s="51"/>
      <c r="BE358" s="51"/>
      <c r="BF358" s="51"/>
      <c r="BG358" s="51"/>
      <c r="BH358" s="51"/>
      <c r="BI358" s="51"/>
      <c r="BJ358" s="51"/>
      <c r="BK358" s="51"/>
      <c r="BL358" s="51"/>
      <c r="BM358" s="51"/>
      <c r="BN358" s="51"/>
      <c r="BO358" s="51"/>
      <c r="BP358" s="51"/>
      <c r="BQ358" s="51"/>
      <c r="BR358" s="51"/>
      <c r="BS358" s="51"/>
      <c r="BT358" s="51"/>
      <c r="BU358" s="51"/>
      <c r="BV358" s="51"/>
      <c r="BW358" s="51"/>
      <c r="BX358" s="51"/>
      <c r="BY358" s="51"/>
      <c r="BZ358" s="51"/>
      <c r="CA358" s="51"/>
      <c r="CB358" s="51"/>
      <c r="CC358" s="51"/>
      <c r="CD358" s="51"/>
      <c r="CE358" s="51"/>
      <c r="CF358" s="51"/>
      <c r="CG358" s="51"/>
      <c r="CH358" s="51"/>
      <c r="CI358" s="51"/>
      <c r="CJ358" s="51"/>
      <c r="CK358" s="51"/>
      <c r="CL358" s="51"/>
      <c r="CM358" s="51"/>
      <c r="CN358" s="51"/>
      <c r="CO358" s="51"/>
      <c r="CP358" s="51"/>
      <c r="CQ358" s="51"/>
      <c r="CR358" s="51"/>
      <c r="CS358" s="51"/>
      <c r="CT358" s="42" t="str">
        <f>IFERROR(('基本数据输入&amp;测算结果'!$C$19*7-AVERAGE(B358:Y358,CP358:CS358)*7-'基本数据输入&amp;测算结果'!$C$23*7)/'基本数据输入&amp;测算结果'!$C$21*'基本数据输入&amp;测算结果'!$C$22,"无数据/数据缺失")</f>
        <v>无数据/数据缺失</v>
      </c>
      <c r="CU358" s="42">
        <f>IF(CT358&lt;0,0,IF(CT358="无数据/数据缺失",0%,IF(CT358&gt;'基本数据输入&amp;测算结果'!$C$20,100%,CT358/'基本数据输入&amp;测算结果'!$C$20)))</f>
        <v>0</v>
      </c>
      <c r="CV358" s="42" t="str">
        <f>IFERROR((AVERAGE(Z358:AW358)*6-'基本数据输入&amp;测算结果'!$C$24*6)/'基本数据输入&amp;测算结果'!$C$21/'基本数据输入&amp;测算结果'!$C$22,"无数据/数据缺失")</f>
        <v>无数据/数据缺失</v>
      </c>
      <c r="CW358" s="42">
        <f>IF(CV358&lt;0,0,IF(CV358="无数据/数据缺失",0%,IF(CV358&gt;'基本数据输入&amp;测算结果'!$C$20*CU358,CU358,CV358/'基本数据输入&amp;测算结果'!$C$20*CU358)))</f>
        <v>0</v>
      </c>
      <c r="CX358" s="42" t="str">
        <f>IFERROR(('基本数据输入&amp;测算结果'!$C$19*2-AVERAGE(AX358:BE358)*2-'基本数据输入&amp;测算结果'!$C$23*2)/'基本数据输入&amp;测算结果'!$C$21*'基本数据输入&amp;测算结果'!$C$22,"无数据/数据缺失")</f>
        <v>无数据/数据缺失</v>
      </c>
      <c r="CY358" s="42">
        <f>IF(CX358&lt;0,0,IF(CX358="无数据/数据缺失",0%,IF(CX358&gt;'基本数据输入&amp;测算结果'!$C$20,100%,CX358/'基本数据输入&amp;测算结果'!$C$20)))</f>
        <v>0</v>
      </c>
      <c r="CZ358" s="42" t="str">
        <f>IFERROR((AVERAGE(BJ358:CO358)*8-'基本数据输入&amp;测算结果'!$C$24*8)/'基本数据输入&amp;测算结果'!$C$21/'基本数据输入&amp;测算结果'!$C$22,"无数据/数据缺失")</f>
        <v>无数据/数据缺失</v>
      </c>
      <c r="DA358" s="42">
        <f>IF(CZ358&lt;0,0,IF(CZ358="无数据/数据缺失",0,IF('基本数据输入&amp;测算结果'!$C$20*CY358&gt;CZ358,CZ358/'基本数据输入&amp;测算结果'!$C$20*CY358,CY358)))</f>
        <v>0</v>
      </c>
      <c r="DB358" s="49">
        <f t="shared" si="14"/>
        <v>0</v>
      </c>
      <c r="DC358" s="50">
        <f>IF(DA358=0,0,IF(AVERAGE(BZ358:CG358)*2&gt;'基本数据输入&amp;测算结果'!$C$20*DA358,100%,AVERAGE(BZ358:CG358)*2/('基本数据输入&amp;测算结果'!$C$20*DA358)))</f>
        <v>0</v>
      </c>
      <c r="DD358" s="50"/>
    </row>
    <row r="359" customHeight="1" spans="1:108">
      <c r="A359" s="48" t="s">
        <v>401</v>
      </c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1"/>
      <c r="AI359" s="51"/>
      <c r="AJ359" s="51"/>
      <c r="AK359" s="51"/>
      <c r="AL359" s="51"/>
      <c r="AM359" s="51"/>
      <c r="AN359" s="51"/>
      <c r="AO359" s="51"/>
      <c r="AP359" s="51"/>
      <c r="AQ359" s="51"/>
      <c r="AR359" s="51"/>
      <c r="AS359" s="51"/>
      <c r="AT359" s="51"/>
      <c r="AU359" s="51"/>
      <c r="AV359" s="51"/>
      <c r="AW359" s="51"/>
      <c r="AX359" s="51"/>
      <c r="AY359" s="51"/>
      <c r="AZ359" s="51"/>
      <c r="BA359" s="51"/>
      <c r="BB359" s="51"/>
      <c r="BC359" s="51"/>
      <c r="BD359" s="51"/>
      <c r="BE359" s="51"/>
      <c r="BF359" s="51"/>
      <c r="BG359" s="51"/>
      <c r="BH359" s="51"/>
      <c r="BI359" s="51"/>
      <c r="BJ359" s="51"/>
      <c r="BK359" s="51"/>
      <c r="BL359" s="51"/>
      <c r="BM359" s="51"/>
      <c r="BN359" s="51"/>
      <c r="BO359" s="51"/>
      <c r="BP359" s="51"/>
      <c r="BQ359" s="51"/>
      <c r="BR359" s="51"/>
      <c r="BS359" s="51"/>
      <c r="BT359" s="51"/>
      <c r="BU359" s="51"/>
      <c r="BV359" s="51"/>
      <c r="BW359" s="51"/>
      <c r="BX359" s="51"/>
      <c r="BY359" s="51"/>
      <c r="BZ359" s="51"/>
      <c r="CA359" s="51"/>
      <c r="CB359" s="51"/>
      <c r="CC359" s="51"/>
      <c r="CD359" s="51"/>
      <c r="CE359" s="51"/>
      <c r="CF359" s="51"/>
      <c r="CG359" s="51"/>
      <c r="CH359" s="51"/>
      <c r="CI359" s="51"/>
      <c r="CJ359" s="51"/>
      <c r="CK359" s="51"/>
      <c r="CL359" s="51"/>
      <c r="CM359" s="51"/>
      <c r="CN359" s="51"/>
      <c r="CO359" s="51"/>
      <c r="CP359" s="51"/>
      <c r="CQ359" s="51"/>
      <c r="CR359" s="51"/>
      <c r="CS359" s="51"/>
      <c r="CT359" s="42" t="str">
        <f>IFERROR(('基本数据输入&amp;测算结果'!$C$19*7-AVERAGE(B359:Y359,CP359:CS359)*7-'基本数据输入&amp;测算结果'!$C$23*7)/'基本数据输入&amp;测算结果'!$C$21*'基本数据输入&amp;测算结果'!$C$22,"无数据/数据缺失")</f>
        <v>无数据/数据缺失</v>
      </c>
      <c r="CU359" s="42">
        <f>IF(CT359&lt;0,0,IF(CT359="无数据/数据缺失",0%,IF(CT359&gt;'基本数据输入&amp;测算结果'!$C$20,100%,CT359/'基本数据输入&amp;测算结果'!$C$20)))</f>
        <v>0</v>
      </c>
      <c r="CV359" s="42" t="str">
        <f>IFERROR((AVERAGE(Z359:AW359)*6-'基本数据输入&amp;测算结果'!$C$24*6)/'基本数据输入&amp;测算结果'!$C$21/'基本数据输入&amp;测算结果'!$C$22,"无数据/数据缺失")</f>
        <v>无数据/数据缺失</v>
      </c>
      <c r="CW359" s="42">
        <f>IF(CV359&lt;0,0,IF(CV359="无数据/数据缺失",0%,IF(CV359&gt;'基本数据输入&amp;测算结果'!$C$20*CU359,CU359,CV359/'基本数据输入&amp;测算结果'!$C$20*CU359)))</f>
        <v>0</v>
      </c>
      <c r="CX359" s="42" t="str">
        <f>IFERROR(('基本数据输入&amp;测算结果'!$C$19*2-AVERAGE(AX359:BE359)*2-'基本数据输入&amp;测算结果'!$C$23*2)/'基本数据输入&amp;测算结果'!$C$21*'基本数据输入&amp;测算结果'!$C$22,"无数据/数据缺失")</f>
        <v>无数据/数据缺失</v>
      </c>
      <c r="CY359" s="42">
        <f>IF(CX359&lt;0,0,IF(CX359="无数据/数据缺失",0%,IF(CX359&gt;'基本数据输入&amp;测算结果'!$C$20,100%,CX359/'基本数据输入&amp;测算结果'!$C$20)))</f>
        <v>0</v>
      </c>
      <c r="CZ359" s="42" t="str">
        <f>IFERROR((AVERAGE(BJ359:CO359)*8-'基本数据输入&amp;测算结果'!$C$24*8)/'基本数据输入&amp;测算结果'!$C$21/'基本数据输入&amp;测算结果'!$C$22,"无数据/数据缺失")</f>
        <v>无数据/数据缺失</v>
      </c>
      <c r="DA359" s="42">
        <f>IF(CZ359&lt;0,0,IF(CZ359="无数据/数据缺失",0,IF('基本数据输入&amp;测算结果'!$C$20*CY359&gt;CZ359,CZ359/'基本数据输入&amp;测算结果'!$C$20*CY359,CY359)))</f>
        <v>0</v>
      </c>
      <c r="DB359" s="49">
        <f t="shared" si="14"/>
        <v>0</v>
      </c>
      <c r="DC359" s="50">
        <f>IF(DA359=0,0,IF(AVERAGE(BZ359:CG359)*2&gt;'基本数据输入&amp;测算结果'!$C$20*DA359,100%,AVERAGE(BZ359:CG359)*2/('基本数据输入&amp;测算结果'!$C$20*DA359)))</f>
        <v>0</v>
      </c>
      <c r="DD359" s="50"/>
    </row>
    <row r="360" customHeight="1" spans="1:108">
      <c r="A360" s="48" t="s">
        <v>402</v>
      </c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  <c r="AH360" s="51"/>
      <c r="AI360" s="51"/>
      <c r="AJ360" s="51"/>
      <c r="AK360" s="51"/>
      <c r="AL360" s="51"/>
      <c r="AM360" s="51"/>
      <c r="AN360" s="51"/>
      <c r="AO360" s="51"/>
      <c r="AP360" s="51"/>
      <c r="AQ360" s="51"/>
      <c r="AR360" s="51"/>
      <c r="AS360" s="51"/>
      <c r="AT360" s="51"/>
      <c r="AU360" s="51"/>
      <c r="AV360" s="51"/>
      <c r="AW360" s="51"/>
      <c r="AX360" s="51"/>
      <c r="AY360" s="51"/>
      <c r="AZ360" s="51"/>
      <c r="BA360" s="51"/>
      <c r="BB360" s="51"/>
      <c r="BC360" s="51"/>
      <c r="BD360" s="51"/>
      <c r="BE360" s="51"/>
      <c r="BF360" s="51"/>
      <c r="BG360" s="51"/>
      <c r="BH360" s="51"/>
      <c r="BI360" s="51"/>
      <c r="BJ360" s="51"/>
      <c r="BK360" s="51"/>
      <c r="BL360" s="51"/>
      <c r="BM360" s="51"/>
      <c r="BN360" s="51"/>
      <c r="BO360" s="51"/>
      <c r="BP360" s="51"/>
      <c r="BQ360" s="51"/>
      <c r="BR360" s="51"/>
      <c r="BS360" s="51"/>
      <c r="BT360" s="51"/>
      <c r="BU360" s="51"/>
      <c r="BV360" s="51"/>
      <c r="BW360" s="51"/>
      <c r="BX360" s="51"/>
      <c r="BY360" s="51"/>
      <c r="BZ360" s="51"/>
      <c r="CA360" s="51"/>
      <c r="CB360" s="51"/>
      <c r="CC360" s="51"/>
      <c r="CD360" s="51"/>
      <c r="CE360" s="51"/>
      <c r="CF360" s="51"/>
      <c r="CG360" s="51"/>
      <c r="CH360" s="51"/>
      <c r="CI360" s="51"/>
      <c r="CJ360" s="51"/>
      <c r="CK360" s="51"/>
      <c r="CL360" s="51"/>
      <c r="CM360" s="51"/>
      <c r="CN360" s="51"/>
      <c r="CO360" s="51"/>
      <c r="CP360" s="51"/>
      <c r="CQ360" s="51"/>
      <c r="CR360" s="51"/>
      <c r="CS360" s="51"/>
      <c r="CT360" s="42" t="str">
        <f>IFERROR(('基本数据输入&amp;测算结果'!$C$19*7-AVERAGE(B360:Y360,CP360:CS360)*7-'基本数据输入&amp;测算结果'!$C$23*7)/'基本数据输入&amp;测算结果'!$C$21*'基本数据输入&amp;测算结果'!$C$22,"无数据/数据缺失")</f>
        <v>无数据/数据缺失</v>
      </c>
      <c r="CU360" s="42">
        <f>IF(CT360&lt;0,0,IF(CT360="无数据/数据缺失",0%,IF(CT360&gt;'基本数据输入&amp;测算结果'!$C$20,100%,CT360/'基本数据输入&amp;测算结果'!$C$20)))</f>
        <v>0</v>
      </c>
      <c r="CV360" s="42" t="str">
        <f>IFERROR((AVERAGE(Z360:AW360)*6-'基本数据输入&amp;测算结果'!$C$24*6)/'基本数据输入&amp;测算结果'!$C$21/'基本数据输入&amp;测算结果'!$C$22,"无数据/数据缺失")</f>
        <v>无数据/数据缺失</v>
      </c>
      <c r="CW360" s="42">
        <f>IF(CV360&lt;0,0,IF(CV360="无数据/数据缺失",0%,IF(CV360&gt;'基本数据输入&amp;测算结果'!$C$20*CU360,CU360,CV360/'基本数据输入&amp;测算结果'!$C$20*CU360)))</f>
        <v>0</v>
      </c>
      <c r="CX360" s="42" t="str">
        <f>IFERROR(('基本数据输入&amp;测算结果'!$C$19*2-AVERAGE(AX360:BE360)*2-'基本数据输入&amp;测算结果'!$C$23*2)/'基本数据输入&amp;测算结果'!$C$21*'基本数据输入&amp;测算结果'!$C$22,"无数据/数据缺失")</f>
        <v>无数据/数据缺失</v>
      </c>
      <c r="CY360" s="42">
        <f>IF(CX360&lt;0,0,IF(CX360="无数据/数据缺失",0%,IF(CX360&gt;'基本数据输入&amp;测算结果'!$C$20,100%,CX360/'基本数据输入&amp;测算结果'!$C$20)))</f>
        <v>0</v>
      </c>
      <c r="CZ360" s="42" t="str">
        <f>IFERROR((AVERAGE(BJ360:CO360)*8-'基本数据输入&amp;测算结果'!$C$24*8)/'基本数据输入&amp;测算结果'!$C$21/'基本数据输入&amp;测算结果'!$C$22,"无数据/数据缺失")</f>
        <v>无数据/数据缺失</v>
      </c>
      <c r="DA360" s="42">
        <f>IF(CZ360&lt;0,0,IF(CZ360="无数据/数据缺失",0,IF('基本数据输入&amp;测算结果'!$C$20*CY360&gt;CZ360,CZ360/'基本数据输入&amp;测算结果'!$C$20*CY360,CY360)))</f>
        <v>0</v>
      </c>
      <c r="DB360" s="49">
        <f t="shared" si="14"/>
        <v>0</v>
      </c>
      <c r="DC360" s="50">
        <f>IF(DA360=0,0,IF(AVERAGE(BZ360:CG360)*2&gt;'基本数据输入&amp;测算结果'!$C$20*DA360,100%,AVERAGE(BZ360:CG360)*2/('基本数据输入&amp;测算结果'!$C$20*DA360)))</f>
        <v>0</v>
      </c>
      <c r="DD360" s="50"/>
    </row>
    <row r="361" customHeight="1" spans="1:108">
      <c r="A361" s="48" t="s">
        <v>403</v>
      </c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1"/>
      <c r="AI361" s="51"/>
      <c r="AJ361" s="51"/>
      <c r="AK361" s="51"/>
      <c r="AL361" s="51"/>
      <c r="AM361" s="51"/>
      <c r="AN361" s="51"/>
      <c r="AO361" s="51"/>
      <c r="AP361" s="51"/>
      <c r="AQ361" s="51"/>
      <c r="AR361" s="51"/>
      <c r="AS361" s="51"/>
      <c r="AT361" s="51"/>
      <c r="AU361" s="51"/>
      <c r="AV361" s="51"/>
      <c r="AW361" s="51"/>
      <c r="AX361" s="51"/>
      <c r="AY361" s="51"/>
      <c r="AZ361" s="51"/>
      <c r="BA361" s="51"/>
      <c r="BB361" s="51"/>
      <c r="BC361" s="51"/>
      <c r="BD361" s="51"/>
      <c r="BE361" s="51"/>
      <c r="BF361" s="51"/>
      <c r="BG361" s="51"/>
      <c r="BH361" s="51"/>
      <c r="BI361" s="51"/>
      <c r="BJ361" s="51"/>
      <c r="BK361" s="51"/>
      <c r="BL361" s="51"/>
      <c r="BM361" s="51"/>
      <c r="BN361" s="51"/>
      <c r="BO361" s="51"/>
      <c r="BP361" s="51"/>
      <c r="BQ361" s="51"/>
      <c r="BR361" s="51"/>
      <c r="BS361" s="51"/>
      <c r="BT361" s="51"/>
      <c r="BU361" s="51"/>
      <c r="BV361" s="51"/>
      <c r="BW361" s="51"/>
      <c r="BX361" s="51"/>
      <c r="BY361" s="51"/>
      <c r="BZ361" s="51"/>
      <c r="CA361" s="51"/>
      <c r="CB361" s="51"/>
      <c r="CC361" s="51"/>
      <c r="CD361" s="51"/>
      <c r="CE361" s="51"/>
      <c r="CF361" s="51"/>
      <c r="CG361" s="51"/>
      <c r="CH361" s="51"/>
      <c r="CI361" s="51"/>
      <c r="CJ361" s="51"/>
      <c r="CK361" s="51"/>
      <c r="CL361" s="51"/>
      <c r="CM361" s="51"/>
      <c r="CN361" s="51"/>
      <c r="CO361" s="51"/>
      <c r="CP361" s="51"/>
      <c r="CQ361" s="51"/>
      <c r="CR361" s="51"/>
      <c r="CS361" s="51"/>
      <c r="CT361" s="42" t="str">
        <f>IFERROR(('基本数据输入&amp;测算结果'!$C$19*7-AVERAGE(B361:Y361,CP361:CS361)*7-'基本数据输入&amp;测算结果'!$C$23*7)/'基本数据输入&amp;测算结果'!$C$21*'基本数据输入&amp;测算结果'!$C$22,"无数据/数据缺失")</f>
        <v>无数据/数据缺失</v>
      </c>
      <c r="CU361" s="42">
        <f>IF(CT361&lt;0,0,IF(CT361="无数据/数据缺失",0%,IF(CT361&gt;'基本数据输入&amp;测算结果'!$C$20,100%,CT361/'基本数据输入&amp;测算结果'!$C$20)))</f>
        <v>0</v>
      </c>
      <c r="CV361" s="42" t="str">
        <f>IFERROR((AVERAGE(Z361:AW361)*6-'基本数据输入&amp;测算结果'!$C$24*6)/'基本数据输入&amp;测算结果'!$C$21/'基本数据输入&amp;测算结果'!$C$22,"无数据/数据缺失")</f>
        <v>无数据/数据缺失</v>
      </c>
      <c r="CW361" s="42">
        <f>IF(CV361&lt;0,0,IF(CV361="无数据/数据缺失",0%,IF(CV361&gt;'基本数据输入&amp;测算结果'!$C$20*CU361,CU361,CV361/'基本数据输入&amp;测算结果'!$C$20*CU361)))</f>
        <v>0</v>
      </c>
      <c r="CX361" s="42" t="str">
        <f>IFERROR(('基本数据输入&amp;测算结果'!$C$19*2-AVERAGE(AX361:BE361)*2-'基本数据输入&amp;测算结果'!$C$23*2)/'基本数据输入&amp;测算结果'!$C$21*'基本数据输入&amp;测算结果'!$C$22,"无数据/数据缺失")</f>
        <v>无数据/数据缺失</v>
      </c>
      <c r="CY361" s="42">
        <f>IF(CX361&lt;0,0,IF(CX361="无数据/数据缺失",0%,IF(CX361&gt;'基本数据输入&amp;测算结果'!$C$20,100%,CX361/'基本数据输入&amp;测算结果'!$C$20)))</f>
        <v>0</v>
      </c>
      <c r="CZ361" s="42" t="str">
        <f>IFERROR((AVERAGE(BJ361:CO361)*8-'基本数据输入&amp;测算结果'!$C$24*8)/'基本数据输入&amp;测算结果'!$C$21/'基本数据输入&amp;测算结果'!$C$22,"无数据/数据缺失")</f>
        <v>无数据/数据缺失</v>
      </c>
      <c r="DA361" s="42">
        <f>IF(CZ361&lt;0,0,IF(CZ361="无数据/数据缺失",0,IF('基本数据输入&amp;测算结果'!$C$20*CY361&gt;CZ361,CZ361/'基本数据输入&amp;测算结果'!$C$20*CY361,CY361)))</f>
        <v>0</v>
      </c>
      <c r="DB361" s="49">
        <f t="shared" si="14"/>
        <v>0</v>
      </c>
      <c r="DC361" s="50">
        <f>IF(DA361=0,0,IF(AVERAGE(BZ361:CG361)*2&gt;'基本数据输入&amp;测算结果'!$C$20*DA361,100%,AVERAGE(BZ361:CG361)*2/('基本数据输入&amp;测算结果'!$C$20*DA361)))</f>
        <v>0</v>
      </c>
      <c r="DD361" s="50"/>
    </row>
    <row r="362" customHeight="1" spans="1:108">
      <c r="A362" s="48" t="s">
        <v>404</v>
      </c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  <c r="AH362" s="51"/>
      <c r="AI362" s="51"/>
      <c r="AJ362" s="51"/>
      <c r="AK362" s="51"/>
      <c r="AL362" s="51"/>
      <c r="AM362" s="51"/>
      <c r="AN362" s="51"/>
      <c r="AO362" s="51"/>
      <c r="AP362" s="51"/>
      <c r="AQ362" s="51"/>
      <c r="AR362" s="51"/>
      <c r="AS362" s="51"/>
      <c r="AT362" s="51"/>
      <c r="AU362" s="51"/>
      <c r="AV362" s="51"/>
      <c r="AW362" s="51"/>
      <c r="AX362" s="51"/>
      <c r="AY362" s="51"/>
      <c r="AZ362" s="51"/>
      <c r="BA362" s="51"/>
      <c r="BB362" s="51"/>
      <c r="BC362" s="51"/>
      <c r="BD362" s="51"/>
      <c r="BE362" s="51"/>
      <c r="BF362" s="51"/>
      <c r="BG362" s="51"/>
      <c r="BH362" s="51"/>
      <c r="BI362" s="51"/>
      <c r="BJ362" s="51"/>
      <c r="BK362" s="51"/>
      <c r="BL362" s="51"/>
      <c r="BM362" s="51"/>
      <c r="BN362" s="51"/>
      <c r="BO362" s="51"/>
      <c r="BP362" s="51"/>
      <c r="BQ362" s="51"/>
      <c r="BR362" s="51"/>
      <c r="BS362" s="51"/>
      <c r="BT362" s="51"/>
      <c r="BU362" s="51"/>
      <c r="BV362" s="51"/>
      <c r="BW362" s="51"/>
      <c r="BX362" s="51"/>
      <c r="BY362" s="51"/>
      <c r="BZ362" s="51"/>
      <c r="CA362" s="51"/>
      <c r="CB362" s="51"/>
      <c r="CC362" s="51"/>
      <c r="CD362" s="51"/>
      <c r="CE362" s="51"/>
      <c r="CF362" s="51"/>
      <c r="CG362" s="51"/>
      <c r="CH362" s="51"/>
      <c r="CI362" s="51"/>
      <c r="CJ362" s="51"/>
      <c r="CK362" s="51"/>
      <c r="CL362" s="51"/>
      <c r="CM362" s="51"/>
      <c r="CN362" s="51"/>
      <c r="CO362" s="51"/>
      <c r="CP362" s="51"/>
      <c r="CQ362" s="51"/>
      <c r="CR362" s="51"/>
      <c r="CS362" s="51"/>
      <c r="CT362" s="42" t="str">
        <f>IFERROR(('基本数据输入&amp;测算结果'!$C$19*7-AVERAGE(B362:Y362,CP362:CS362)*7-'基本数据输入&amp;测算结果'!$C$23*7)/'基本数据输入&amp;测算结果'!$C$21*'基本数据输入&amp;测算结果'!$C$22,"无数据/数据缺失")</f>
        <v>无数据/数据缺失</v>
      </c>
      <c r="CU362" s="42">
        <f>IF(CT362&lt;0,0,IF(CT362="无数据/数据缺失",0%,IF(CT362&gt;'基本数据输入&amp;测算结果'!$C$20,100%,CT362/'基本数据输入&amp;测算结果'!$C$20)))</f>
        <v>0</v>
      </c>
      <c r="CV362" s="42" t="str">
        <f>IFERROR((AVERAGE(Z362:AW362)*6-'基本数据输入&amp;测算结果'!$C$24*6)/'基本数据输入&amp;测算结果'!$C$21/'基本数据输入&amp;测算结果'!$C$22,"无数据/数据缺失")</f>
        <v>无数据/数据缺失</v>
      </c>
      <c r="CW362" s="42">
        <f>IF(CV362&lt;0,0,IF(CV362="无数据/数据缺失",0%,IF(CV362&gt;'基本数据输入&amp;测算结果'!$C$20*CU362,CU362,CV362/'基本数据输入&amp;测算结果'!$C$20*CU362)))</f>
        <v>0</v>
      </c>
      <c r="CX362" s="42" t="str">
        <f>IFERROR(('基本数据输入&amp;测算结果'!$C$19*2-AVERAGE(AX362:BE362)*2-'基本数据输入&amp;测算结果'!$C$23*2)/'基本数据输入&amp;测算结果'!$C$21*'基本数据输入&amp;测算结果'!$C$22,"无数据/数据缺失")</f>
        <v>无数据/数据缺失</v>
      </c>
      <c r="CY362" s="42">
        <f>IF(CX362&lt;0,0,IF(CX362="无数据/数据缺失",0%,IF(CX362&gt;'基本数据输入&amp;测算结果'!$C$20,100%,CX362/'基本数据输入&amp;测算结果'!$C$20)))</f>
        <v>0</v>
      </c>
      <c r="CZ362" s="42" t="str">
        <f>IFERROR((AVERAGE(BJ362:CO362)*8-'基本数据输入&amp;测算结果'!$C$24*8)/'基本数据输入&amp;测算结果'!$C$21/'基本数据输入&amp;测算结果'!$C$22,"无数据/数据缺失")</f>
        <v>无数据/数据缺失</v>
      </c>
      <c r="DA362" s="42">
        <f>IF(CZ362&lt;0,0,IF(CZ362="无数据/数据缺失",0,IF('基本数据输入&amp;测算结果'!$C$20*CY362&gt;CZ362,CZ362/'基本数据输入&amp;测算结果'!$C$20*CY362,CY362)))</f>
        <v>0</v>
      </c>
      <c r="DB362" s="49">
        <f t="shared" si="14"/>
        <v>0</v>
      </c>
      <c r="DC362" s="50">
        <f>IF(DA362=0,0,IF(AVERAGE(BZ362:CG362)*2&gt;'基本数据输入&amp;测算结果'!$C$20*DA362,100%,AVERAGE(BZ362:CG362)*2/('基本数据输入&amp;测算结果'!$C$20*DA362)))</f>
        <v>0</v>
      </c>
      <c r="DD362" s="50"/>
    </row>
    <row r="363" customHeight="1" spans="1:108">
      <c r="A363" s="48" t="s">
        <v>405</v>
      </c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1"/>
      <c r="AI363" s="51"/>
      <c r="AJ363" s="51"/>
      <c r="AK363" s="51"/>
      <c r="AL363" s="51"/>
      <c r="AM363" s="51"/>
      <c r="AN363" s="51"/>
      <c r="AO363" s="51"/>
      <c r="AP363" s="51"/>
      <c r="AQ363" s="51"/>
      <c r="AR363" s="51"/>
      <c r="AS363" s="51"/>
      <c r="AT363" s="51"/>
      <c r="AU363" s="51"/>
      <c r="AV363" s="51"/>
      <c r="AW363" s="51"/>
      <c r="AX363" s="51"/>
      <c r="AY363" s="51"/>
      <c r="AZ363" s="51"/>
      <c r="BA363" s="51"/>
      <c r="BB363" s="51"/>
      <c r="BC363" s="51"/>
      <c r="BD363" s="51"/>
      <c r="BE363" s="51"/>
      <c r="BF363" s="51"/>
      <c r="BG363" s="51"/>
      <c r="BH363" s="51"/>
      <c r="BI363" s="51"/>
      <c r="BJ363" s="51"/>
      <c r="BK363" s="51"/>
      <c r="BL363" s="51"/>
      <c r="BM363" s="51"/>
      <c r="BN363" s="51"/>
      <c r="BO363" s="51"/>
      <c r="BP363" s="51"/>
      <c r="BQ363" s="51"/>
      <c r="BR363" s="51"/>
      <c r="BS363" s="51"/>
      <c r="BT363" s="51"/>
      <c r="BU363" s="51"/>
      <c r="BV363" s="51"/>
      <c r="BW363" s="51"/>
      <c r="BX363" s="51"/>
      <c r="BY363" s="51"/>
      <c r="BZ363" s="51"/>
      <c r="CA363" s="51"/>
      <c r="CB363" s="51"/>
      <c r="CC363" s="51"/>
      <c r="CD363" s="51"/>
      <c r="CE363" s="51"/>
      <c r="CF363" s="51"/>
      <c r="CG363" s="51"/>
      <c r="CH363" s="51"/>
      <c r="CI363" s="51"/>
      <c r="CJ363" s="51"/>
      <c r="CK363" s="51"/>
      <c r="CL363" s="51"/>
      <c r="CM363" s="51"/>
      <c r="CN363" s="51"/>
      <c r="CO363" s="51"/>
      <c r="CP363" s="51"/>
      <c r="CQ363" s="51"/>
      <c r="CR363" s="51"/>
      <c r="CS363" s="51"/>
      <c r="CT363" s="42" t="str">
        <f>IFERROR(('基本数据输入&amp;测算结果'!$C$19*7-AVERAGE(B363:Y363,CP363:CS363)*7-'基本数据输入&amp;测算结果'!$C$23*7)/'基本数据输入&amp;测算结果'!$C$21*'基本数据输入&amp;测算结果'!$C$22,"无数据/数据缺失")</f>
        <v>无数据/数据缺失</v>
      </c>
      <c r="CU363" s="42">
        <f>IF(CT363&lt;0,0,IF(CT363="无数据/数据缺失",0%,IF(CT363&gt;'基本数据输入&amp;测算结果'!$C$20,100%,CT363/'基本数据输入&amp;测算结果'!$C$20)))</f>
        <v>0</v>
      </c>
      <c r="CV363" s="42" t="str">
        <f>IFERROR((AVERAGE(Z363:AW363)*6-'基本数据输入&amp;测算结果'!$C$24*6)/'基本数据输入&amp;测算结果'!$C$21/'基本数据输入&amp;测算结果'!$C$22,"无数据/数据缺失")</f>
        <v>无数据/数据缺失</v>
      </c>
      <c r="CW363" s="42">
        <f>IF(CV363&lt;0,0,IF(CV363="无数据/数据缺失",0%,IF(CV363&gt;'基本数据输入&amp;测算结果'!$C$20*CU363,CU363,CV363/'基本数据输入&amp;测算结果'!$C$20*CU363)))</f>
        <v>0</v>
      </c>
      <c r="CX363" s="42" t="str">
        <f>IFERROR(('基本数据输入&amp;测算结果'!$C$19*2-AVERAGE(AX363:BE363)*2-'基本数据输入&amp;测算结果'!$C$23*2)/'基本数据输入&amp;测算结果'!$C$21*'基本数据输入&amp;测算结果'!$C$22,"无数据/数据缺失")</f>
        <v>无数据/数据缺失</v>
      </c>
      <c r="CY363" s="42">
        <f>IF(CX363&lt;0,0,IF(CX363="无数据/数据缺失",0%,IF(CX363&gt;'基本数据输入&amp;测算结果'!$C$20,100%,CX363/'基本数据输入&amp;测算结果'!$C$20)))</f>
        <v>0</v>
      </c>
      <c r="CZ363" s="42" t="str">
        <f>IFERROR((AVERAGE(BJ363:CO363)*8-'基本数据输入&amp;测算结果'!$C$24*8)/'基本数据输入&amp;测算结果'!$C$21/'基本数据输入&amp;测算结果'!$C$22,"无数据/数据缺失")</f>
        <v>无数据/数据缺失</v>
      </c>
      <c r="DA363" s="42">
        <f>IF(CZ363&lt;0,0,IF(CZ363="无数据/数据缺失",0,IF('基本数据输入&amp;测算结果'!$C$20*CY363&gt;CZ363,CZ363/'基本数据输入&amp;测算结果'!$C$20*CY363,CY363)))</f>
        <v>0</v>
      </c>
      <c r="DB363" s="49">
        <f t="shared" si="14"/>
        <v>0</v>
      </c>
      <c r="DC363" s="50">
        <f>IF(DA363=0,0,IF(AVERAGE(BZ363:CG363)*2&gt;'基本数据输入&amp;测算结果'!$C$20*DA363,100%,AVERAGE(BZ363:CG363)*2/('基本数据输入&amp;测算结果'!$C$20*DA363)))</f>
        <v>0</v>
      </c>
      <c r="DD363" s="50"/>
    </row>
    <row r="364" customHeight="1" spans="1:108">
      <c r="A364" s="48" t="s">
        <v>406</v>
      </c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1"/>
      <c r="AN364" s="51"/>
      <c r="AO364" s="51"/>
      <c r="AP364" s="51"/>
      <c r="AQ364" s="51"/>
      <c r="AR364" s="51"/>
      <c r="AS364" s="51"/>
      <c r="AT364" s="51"/>
      <c r="AU364" s="51"/>
      <c r="AV364" s="51"/>
      <c r="AW364" s="51"/>
      <c r="AX364" s="51"/>
      <c r="AY364" s="51"/>
      <c r="AZ364" s="51"/>
      <c r="BA364" s="51"/>
      <c r="BB364" s="51"/>
      <c r="BC364" s="51"/>
      <c r="BD364" s="51"/>
      <c r="BE364" s="51"/>
      <c r="BF364" s="51"/>
      <c r="BG364" s="51"/>
      <c r="BH364" s="51"/>
      <c r="BI364" s="51"/>
      <c r="BJ364" s="51"/>
      <c r="BK364" s="51"/>
      <c r="BL364" s="51"/>
      <c r="BM364" s="51"/>
      <c r="BN364" s="51"/>
      <c r="BO364" s="51"/>
      <c r="BP364" s="51"/>
      <c r="BQ364" s="51"/>
      <c r="BR364" s="51"/>
      <c r="BS364" s="51"/>
      <c r="BT364" s="51"/>
      <c r="BU364" s="51"/>
      <c r="BV364" s="51"/>
      <c r="BW364" s="51"/>
      <c r="BX364" s="51"/>
      <c r="BY364" s="51"/>
      <c r="BZ364" s="51"/>
      <c r="CA364" s="51"/>
      <c r="CB364" s="51"/>
      <c r="CC364" s="51"/>
      <c r="CD364" s="51"/>
      <c r="CE364" s="51"/>
      <c r="CF364" s="51"/>
      <c r="CG364" s="51"/>
      <c r="CH364" s="51"/>
      <c r="CI364" s="51"/>
      <c r="CJ364" s="51"/>
      <c r="CK364" s="51"/>
      <c r="CL364" s="51"/>
      <c r="CM364" s="51"/>
      <c r="CN364" s="51"/>
      <c r="CO364" s="51"/>
      <c r="CP364" s="51"/>
      <c r="CQ364" s="51"/>
      <c r="CR364" s="51"/>
      <c r="CS364" s="51"/>
      <c r="CT364" s="42" t="str">
        <f>IFERROR(('基本数据输入&amp;测算结果'!$C$19*7-AVERAGE(B364:Y364,CP364:CS364)*7-'基本数据输入&amp;测算结果'!$C$23*7)/'基本数据输入&amp;测算结果'!$C$21*'基本数据输入&amp;测算结果'!$C$22,"无数据/数据缺失")</f>
        <v>无数据/数据缺失</v>
      </c>
      <c r="CU364" s="42">
        <f>IF(CT364&lt;0,0,IF(CT364="无数据/数据缺失",0%,IF(CT364&gt;'基本数据输入&amp;测算结果'!$C$20,100%,CT364/'基本数据输入&amp;测算结果'!$C$20)))</f>
        <v>0</v>
      </c>
      <c r="CV364" s="42" t="str">
        <f>IFERROR((AVERAGE(Z364:AW364)*6-'基本数据输入&amp;测算结果'!$C$24*6)/'基本数据输入&amp;测算结果'!$C$21/'基本数据输入&amp;测算结果'!$C$22,"无数据/数据缺失")</f>
        <v>无数据/数据缺失</v>
      </c>
      <c r="CW364" s="42">
        <f>IF(CV364&lt;0,0,IF(CV364="无数据/数据缺失",0%,IF(CV364&gt;'基本数据输入&amp;测算结果'!$C$20*CU364,CU364,CV364/'基本数据输入&amp;测算结果'!$C$20*CU364)))</f>
        <v>0</v>
      </c>
      <c r="CX364" s="42" t="str">
        <f>IFERROR(('基本数据输入&amp;测算结果'!$C$19*2-AVERAGE(AX364:BE364)*2-'基本数据输入&amp;测算结果'!$C$23*2)/'基本数据输入&amp;测算结果'!$C$21*'基本数据输入&amp;测算结果'!$C$22,"无数据/数据缺失")</f>
        <v>无数据/数据缺失</v>
      </c>
      <c r="CY364" s="42">
        <f>IF(CX364&lt;0,0,IF(CX364="无数据/数据缺失",0%,IF(CX364&gt;'基本数据输入&amp;测算结果'!$C$20,100%,CX364/'基本数据输入&amp;测算结果'!$C$20)))</f>
        <v>0</v>
      </c>
      <c r="CZ364" s="42" t="str">
        <f>IFERROR((AVERAGE(BJ364:CO364)*8-'基本数据输入&amp;测算结果'!$C$24*8)/'基本数据输入&amp;测算结果'!$C$21/'基本数据输入&amp;测算结果'!$C$22,"无数据/数据缺失")</f>
        <v>无数据/数据缺失</v>
      </c>
      <c r="DA364" s="42">
        <f>IF(CZ364&lt;0,0,IF(CZ364="无数据/数据缺失",0,IF('基本数据输入&amp;测算结果'!$C$20*CY364&gt;CZ364,CZ364/'基本数据输入&amp;测算结果'!$C$20*CY364,CY364)))</f>
        <v>0</v>
      </c>
      <c r="DB364" s="49">
        <f t="shared" si="14"/>
        <v>0</v>
      </c>
      <c r="DC364" s="50">
        <f>IF(DA364=0,0,IF(AVERAGE(BZ364:CG364)*2&gt;'基本数据输入&amp;测算结果'!$C$20*DA364,100%,AVERAGE(BZ364:CG364)*2/('基本数据输入&amp;测算结果'!$C$20*DA364)))</f>
        <v>0</v>
      </c>
      <c r="DD364" s="50"/>
    </row>
    <row r="365" customHeight="1" spans="1:108">
      <c r="A365" s="48" t="s">
        <v>407</v>
      </c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1"/>
      <c r="AI365" s="51"/>
      <c r="AJ365" s="51"/>
      <c r="AK365" s="51"/>
      <c r="AL365" s="51"/>
      <c r="AM365" s="51"/>
      <c r="AN365" s="51"/>
      <c r="AO365" s="51"/>
      <c r="AP365" s="51"/>
      <c r="AQ365" s="51"/>
      <c r="AR365" s="51"/>
      <c r="AS365" s="51"/>
      <c r="AT365" s="51"/>
      <c r="AU365" s="51"/>
      <c r="AV365" s="51"/>
      <c r="AW365" s="51"/>
      <c r="AX365" s="51"/>
      <c r="AY365" s="51"/>
      <c r="AZ365" s="51"/>
      <c r="BA365" s="51"/>
      <c r="BB365" s="51"/>
      <c r="BC365" s="51"/>
      <c r="BD365" s="51"/>
      <c r="BE365" s="51"/>
      <c r="BF365" s="51"/>
      <c r="BG365" s="51"/>
      <c r="BH365" s="51"/>
      <c r="BI365" s="51"/>
      <c r="BJ365" s="51"/>
      <c r="BK365" s="51"/>
      <c r="BL365" s="51"/>
      <c r="BM365" s="51"/>
      <c r="BN365" s="51"/>
      <c r="BO365" s="51"/>
      <c r="BP365" s="51"/>
      <c r="BQ365" s="51"/>
      <c r="BR365" s="51"/>
      <c r="BS365" s="51"/>
      <c r="BT365" s="51"/>
      <c r="BU365" s="51"/>
      <c r="BV365" s="51"/>
      <c r="BW365" s="51"/>
      <c r="BX365" s="51"/>
      <c r="BY365" s="51"/>
      <c r="BZ365" s="51"/>
      <c r="CA365" s="51"/>
      <c r="CB365" s="51"/>
      <c r="CC365" s="51"/>
      <c r="CD365" s="51"/>
      <c r="CE365" s="51"/>
      <c r="CF365" s="51"/>
      <c r="CG365" s="51"/>
      <c r="CH365" s="51"/>
      <c r="CI365" s="51"/>
      <c r="CJ365" s="51"/>
      <c r="CK365" s="51"/>
      <c r="CL365" s="51"/>
      <c r="CM365" s="51"/>
      <c r="CN365" s="51"/>
      <c r="CO365" s="51"/>
      <c r="CP365" s="51"/>
      <c r="CQ365" s="51"/>
      <c r="CR365" s="51"/>
      <c r="CS365" s="51"/>
      <c r="CT365" s="42" t="str">
        <f>IFERROR(('基本数据输入&amp;测算结果'!$C$19*7-AVERAGE(B365:Y365,CP365:CS365)*7-'基本数据输入&amp;测算结果'!$C$23*7)/'基本数据输入&amp;测算结果'!$C$21*'基本数据输入&amp;测算结果'!$C$22,"无数据/数据缺失")</f>
        <v>无数据/数据缺失</v>
      </c>
      <c r="CU365" s="42">
        <f>IF(CT365&lt;0,0,IF(CT365="无数据/数据缺失",0%,IF(CT365&gt;'基本数据输入&amp;测算结果'!$C$20,100%,CT365/'基本数据输入&amp;测算结果'!$C$20)))</f>
        <v>0</v>
      </c>
      <c r="CV365" s="42" t="str">
        <f>IFERROR((AVERAGE(Z365:AW365)*6-'基本数据输入&amp;测算结果'!$C$24*6)/'基本数据输入&amp;测算结果'!$C$21/'基本数据输入&amp;测算结果'!$C$22,"无数据/数据缺失")</f>
        <v>无数据/数据缺失</v>
      </c>
      <c r="CW365" s="42">
        <f>IF(CV365&lt;0,0,IF(CV365="无数据/数据缺失",0%,IF(CV365&gt;'基本数据输入&amp;测算结果'!$C$20*CU365,CU365,CV365/'基本数据输入&amp;测算结果'!$C$20*CU365)))</f>
        <v>0</v>
      </c>
      <c r="CX365" s="42" t="str">
        <f>IFERROR(('基本数据输入&amp;测算结果'!$C$19*2-AVERAGE(AX365:BE365)*2-'基本数据输入&amp;测算结果'!$C$23*2)/'基本数据输入&amp;测算结果'!$C$21*'基本数据输入&amp;测算结果'!$C$22,"无数据/数据缺失")</f>
        <v>无数据/数据缺失</v>
      </c>
      <c r="CY365" s="42">
        <f>IF(CX365&lt;0,0,IF(CX365="无数据/数据缺失",0%,IF(CX365&gt;'基本数据输入&amp;测算结果'!$C$20,100%,CX365/'基本数据输入&amp;测算结果'!$C$20)))</f>
        <v>0</v>
      </c>
      <c r="CZ365" s="42" t="str">
        <f>IFERROR((AVERAGE(BJ365:CO365)*8-'基本数据输入&amp;测算结果'!$C$24*8)/'基本数据输入&amp;测算结果'!$C$21/'基本数据输入&amp;测算结果'!$C$22,"无数据/数据缺失")</f>
        <v>无数据/数据缺失</v>
      </c>
      <c r="DA365" s="42">
        <f>IF(CZ365&lt;0,0,IF(CZ365="无数据/数据缺失",0,IF('基本数据输入&amp;测算结果'!$C$20*CY365&gt;CZ365,CZ365/'基本数据输入&amp;测算结果'!$C$20*CY365,CY365)))</f>
        <v>0</v>
      </c>
      <c r="DB365" s="49">
        <f t="shared" si="14"/>
        <v>0</v>
      </c>
      <c r="DC365" s="50">
        <f>IF(DA365=0,0,IF(AVERAGE(BZ365:CG365)*2&gt;'基本数据输入&amp;测算结果'!$C$20*DA365,100%,AVERAGE(BZ365:CG365)*2/('基本数据输入&amp;测算结果'!$C$20*DA365)))</f>
        <v>0</v>
      </c>
      <c r="DD365" s="50"/>
    </row>
    <row r="366" s="42" customFormat="1" customHeight="1" spans="1:108">
      <c r="A366" s="48" t="s">
        <v>408</v>
      </c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  <c r="AH366" s="51"/>
      <c r="AI366" s="51"/>
      <c r="AJ366" s="51"/>
      <c r="AK366" s="51"/>
      <c r="AL366" s="51"/>
      <c r="AM366" s="51"/>
      <c r="AN366" s="51"/>
      <c r="AO366" s="51"/>
      <c r="AP366" s="51"/>
      <c r="AQ366" s="51"/>
      <c r="AR366" s="51"/>
      <c r="AS366" s="51"/>
      <c r="AT366" s="51"/>
      <c r="AU366" s="51"/>
      <c r="AV366" s="51"/>
      <c r="AW366" s="51"/>
      <c r="AX366" s="51"/>
      <c r="AY366" s="51"/>
      <c r="AZ366" s="51"/>
      <c r="BA366" s="51"/>
      <c r="BB366" s="51"/>
      <c r="BC366" s="51"/>
      <c r="BD366" s="51"/>
      <c r="BE366" s="51"/>
      <c r="BF366" s="51"/>
      <c r="BG366" s="51"/>
      <c r="BH366" s="51"/>
      <c r="BI366" s="51"/>
      <c r="BJ366" s="51"/>
      <c r="BK366" s="51"/>
      <c r="BL366" s="51"/>
      <c r="BM366" s="51"/>
      <c r="BN366" s="51"/>
      <c r="BO366" s="51"/>
      <c r="BP366" s="51"/>
      <c r="BQ366" s="51"/>
      <c r="BR366" s="51"/>
      <c r="BS366" s="51"/>
      <c r="BT366" s="51"/>
      <c r="BU366" s="51"/>
      <c r="BV366" s="51"/>
      <c r="BW366" s="51"/>
      <c r="BX366" s="51"/>
      <c r="BY366" s="51"/>
      <c r="BZ366" s="51"/>
      <c r="CA366" s="51"/>
      <c r="CB366" s="51"/>
      <c r="CC366" s="51"/>
      <c r="CD366" s="51"/>
      <c r="CE366" s="51"/>
      <c r="CF366" s="51"/>
      <c r="CG366" s="51"/>
      <c r="CH366" s="51"/>
      <c r="CI366" s="51"/>
      <c r="CJ366" s="51"/>
      <c r="CK366" s="51"/>
      <c r="CL366" s="51"/>
      <c r="CM366" s="51"/>
      <c r="CN366" s="51"/>
      <c r="CO366" s="51"/>
      <c r="CP366" s="51"/>
      <c r="CQ366" s="51"/>
      <c r="CR366" s="51"/>
      <c r="CS366" s="51"/>
      <c r="CT366" s="42" t="str">
        <f>IFERROR(('基本数据输入&amp;测算结果'!$C$19*7-AVERAGE(B366:Y366,CP366:CS366)*7-'基本数据输入&amp;测算结果'!$C$23*7)/'基本数据输入&amp;测算结果'!$C$21*'基本数据输入&amp;测算结果'!$C$22,"无数据/数据缺失")</f>
        <v>无数据/数据缺失</v>
      </c>
      <c r="CU366" s="42">
        <f>IF(CT366&lt;0,0,IF(CT366="无数据/数据缺失",0%,IF(CT366&gt;'基本数据输入&amp;测算结果'!$C$20,100%,CT366/'基本数据输入&amp;测算结果'!$C$20)))</f>
        <v>0</v>
      </c>
      <c r="CV366" s="42" t="str">
        <f>IFERROR((AVERAGE(Z366:AW366)*6-'基本数据输入&amp;测算结果'!$C$24*6)/'基本数据输入&amp;测算结果'!$C$21/'基本数据输入&amp;测算结果'!$C$22,"无数据/数据缺失")</f>
        <v>无数据/数据缺失</v>
      </c>
      <c r="CW366" s="42">
        <f>IF(CV366&lt;0,0,IF(CV366="无数据/数据缺失",0%,IF(CV366&gt;'基本数据输入&amp;测算结果'!$C$20*CU366,CU366,CV366/'基本数据输入&amp;测算结果'!$C$20*CU366)))</f>
        <v>0</v>
      </c>
      <c r="CX366" s="42" t="str">
        <f>IFERROR(('基本数据输入&amp;测算结果'!$C$19*2-AVERAGE(AX366:BE366)*2-'基本数据输入&amp;测算结果'!$C$23*2)/'基本数据输入&amp;测算结果'!$C$21*'基本数据输入&amp;测算结果'!$C$22,"无数据/数据缺失")</f>
        <v>无数据/数据缺失</v>
      </c>
      <c r="CY366" s="42">
        <f>IF(CX366&lt;0,0,IF(CX366="无数据/数据缺失",0%,IF(CX366&gt;'基本数据输入&amp;测算结果'!$C$20,100%,CX366/'基本数据输入&amp;测算结果'!$C$20)))</f>
        <v>0</v>
      </c>
      <c r="CZ366" s="42" t="str">
        <f>IFERROR((AVERAGE(BJ366:CO366)*8-'基本数据输入&amp;测算结果'!$C$24*8)/'基本数据输入&amp;测算结果'!$C$21/'基本数据输入&amp;测算结果'!$C$22,"无数据/数据缺失")</f>
        <v>无数据/数据缺失</v>
      </c>
      <c r="DA366" s="42">
        <f>IF(CZ366&lt;0,0,IF(CZ366="无数据/数据缺失",0,IF('基本数据输入&amp;测算结果'!$C$20*CY366&gt;CZ366,CZ366/'基本数据输入&amp;测算结果'!$C$20*CY366,CY366)))</f>
        <v>0</v>
      </c>
      <c r="DB366" s="49">
        <f t="shared" si="14"/>
        <v>0</v>
      </c>
      <c r="DC366" s="50">
        <f>IF(DA366=0,0,IF(AVERAGE(BZ366:CG366)*2&gt;'基本数据输入&amp;测算结果'!$C$20*DA366,100%,AVERAGE(BZ366:CG366)*2/('基本数据输入&amp;测算结果'!$C$20*DA366)))</f>
        <v>0</v>
      </c>
      <c r="DD366" s="50"/>
    </row>
    <row r="367" customHeight="1" spans="1:108">
      <c r="A367" s="41" t="s">
        <v>409</v>
      </c>
      <c r="B367" s="43">
        <f t="shared" ref="B367:AG367" si="15">AVERAGE(B2:B366)</f>
        <v>317.6</v>
      </c>
      <c r="C367" s="43">
        <f t="shared" si="15"/>
        <v>365.6</v>
      </c>
      <c r="D367" s="43">
        <f t="shared" si="15"/>
        <v>364.8</v>
      </c>
      <c r="E367" s="43">
        <f t="shared" si="15"/>
        <v>351.2</v>
      </c>
      <c r="F367" s="43">
        <f t="shared" si="15"/>
        <v>340.8</v>
      </c>
      <c r="G367" s="43">
        <f t="shared" si="15"/>
        <v>344.8</v>
      </c>
      <c r="H367" s="43">
        <f t="shared" si="15"/>
        <v>342.4</v>
      </c>
      <c r="I367" s="43">
        <f t="shared" si="15"/>
        <v>344</v>
      </c>
      <c r="J367" s="43">
        <f t="shared" si="15"/>
        <v>336</v>
      </c>
      <c r="K367" s="43">
        <f t="shared" si="15"/>
        <v>320.8</v>
      </c>
      <c r="L367" s="43">
        <f t="shared" si="15"/>
        <v>312</v>
      </c>
      <c r="M367" s="43">
        <f t="shared" si="15"/>
        <v>318.4</v>
      </c>
      <c r="N367" s="43">
        <f t="shared" si="15"/>
        <v>320.8</v>
      </c>
      <c r="O367" s="43">
        <f t="shared" si="15"/>
        <v>339.2</v>
      </c>
      <c r="P367" s="43">
        <f t="shared" si="15"/>
        <v>356.8</v>
      </c>
      <c r="Q367" s="43">
        <f t="shared" si="15"/>
        <v>353.6</v>
      </c>
      <c r="R367" s="43">
        <f t="shared" si="15"/>
        <v>378.4</v>
      </c>
      <c r="S367" s="43">
        <f t="shared" si="15"/>
        <v>357.6</v>
      </c>
      <c r="T367" s="43">
        <f t="shared" si="15"/>
        <v>378.4</v>
      </c>
      <c r="U367" s="43">
        <f t="shared" si="15"/>
        <v>334.4</v>
      </c>
      <c r="V367" s="43">
        <f t="shared" si="15"/>
        <v>324</v>
      </c>
      <c r="W367" s="43">
        <f t="shared" si="15"/>
        <v>331.2</v>
      </c>
      <c r="X367" s="43">
        <f t="shared" si="15"/>
        <v>336.8</v>
      </c>
      <c r="Y367" s="43">
        <f t="shared" si="15"/>
        <v>368</v>
      </c>
      <c r="Z367" s="43">
        <f t="shared" si="15"/>
        <v>346.4</v>
      </c>
      <c r="AA367" s="43">
        <f t="shared" si="15"/>
        <v>352</v>
      </c>
      <c r="AB367" s="43">
        <f t="shared" si="15"/>
        <v>378.4</v>
      </c>
      <c r="AC367" s="43">
        <f t="shared" si="15"/>
        <v>347.2</v>
      </c>
      <c r="AD367" s="43">
        <f t="shared" si="15"/>
        <v>357.6</v>
      </c>
      <c r="AE367" s="43">
        <f t="shared" si="15"/>
        <v>357.6</v>
      </c>
      <c r="AF367" s="43">
        <f t="shared" si="15"/>
        <v>391.2</v>
      </c>
      <c r="AG367" s="43">
        <f t="shared" si="15"/>
        <v>388</v>
      </c>
      <c r="AH367" s="43">
        <f t="shared" ref="AH367:BM367" si="16">AVERAGE(AH2:AH366)</f>
        <v>344.8</v>
      </c>
      <c r="AI367" s="43">
        <f t="shared" si="16"/>
        <v>369.6</v>
      </c>
      <c r="AJ367" s="43">
        <f t="shared" si="16"/>
        <v>344.8</v>
      </c>
      <c r="AK367" s="43">
        <f t="shared" si="16"/>
        <v>347.2</v>
      </c>
      <c r="AL367" s="43">
        <f t="shared" si="16"/>
        <v>356</v>
      </c>
      <c r="AM367" s="43">
        <f t="shared" si="16"/>
        <v>363.2</v>
      </c>
      <c r="AN367" s="43">
        <f t="shared" si="16"/>
        <v>432.8</v>
      </c>
      <c r="AO367" s="43">
        <f t="shared" si="16"/>
        <v>389.6</v>
      </c>
      <c r="AP367" s="43">
        <f t="shared" si="16"/>
        <v>384.8</v>
      </c>
      <c r="AQ367" s="43">
        <f t="shared" si="16"/>
        <v>422.4</v>
      </c>
      <c r="AR367" s="43">
        <f t="shared" si="16"/>
        <v>369.6</v>
      </c>
      <c r="AS367" s="43">
        <f t="shared" si="16"/>
        <v>352.8</v>
      </c>
      <c r="AT367" s="43">
        <f t="shared" si="16"/>
        <v>344</v>
      </c>
      <c r="AU367" s="43">
        <f t="shared" si="16"/>
        <v>348</v>
      </c>
      <c r="AV367" s="43">
        <f t="shared" si="16"/>
        <v>372.8</v>
      </c>
      <c r="AW367" s="43">
        <f t="shared" si="16"/>
        <v>352</v>
      </c>
      <c r="AX367" s="43">
        <f t="shared" si="16"/>
        <v>396.8</v>
      </c>
      <c r="AY367" s="43">
        <f t="shared" si="16"/>
        <v>376</v>
      </c>
      <c r="AZ367" s="43">
        <f t="shared" si="16"/>
        <v>369.6</v>
      </c>
      <c r="BA367" s="43">
        <f t="shared" si="16"/>
        <v>364</v>
      </c>
      <c r="BB367" s="43">
        <f t="shared" si="16"/>
        <v>314.4</v>
      </c>
      <c r="BC367" s="43">
        <f t="shared" si="16"/>
        <v>324.8</v>
      </c>
      <c r="BD367" s="43">
        <f t="shared" si="16"/>
        <v>314.4</v>
      </c>
      <c r="BE367" s="43">
        <f t="shared" si="16"/>
        <v>322.4</v>
      </c>
      <c r="BF367" s="43">
        <f t="shared" si="16"/>
        <v>338.4</v>
      </c>
      <c r="BG367" s="43">
        <f t="shared" si="16"/>
        <v>321.6</v>
      </c>
      <c r="BH367" s="43">
        <f t="shared" si="16"/>
        <v>334.4</v>
      </c>
      <c r="BI367" s="43">
        <f t="shared" si="16"/>
        <v>333.6</v>
      </c>
      <c r="BJ367" s="43">
        <f t="shared" si="16"/>
        <v>357.6</v>
      </c>
      <c r="BK367" s="43">
        <f t="shared" si="16"/>
        <v>384.8</v>
      </c>
      <c r="BL367" s="43">
        <f t="shared" si="16"/>
        <v>367.2</v>
      </c>
      <c r="BM367" s="43">
        <f t="shared" si="16"/>
        <v>379.2</v>
      </c>
      <c r="BN367" s="43">
        <f t="shared" ref="BN367:CS367" si="17">AVERAGE(BN2:BN366)</f>
        <v>380</v>
      </c>
      <c r="BO367" s="43">
        <f t="shared" si="17"/>
        <v>376.8</v>
      </c>
      <c r="BP367" s="43">
        <f t="shared" si="17"/>
        <v>385.6</v>
      </c>
      <c r="BQ367" s="43">
        <f t="shared" si="17"/>
        <v>368</v>
      </c>
      <c r="BR367" s="43">
        <f t="shared" si="17"/>
        <v>344</v>
      </c>
      <c r="BS367" s="43">
        <f t="shared" si="17"/>
        <v>362.4</v>
      </c>
      <c r="BT367" s="43">
        <f t="shared" si="17"/>
        <v>334.4</v>
      </c>
      <c r="BU367" s="43">
        <f t="shared" si="17"/>
        <v>340.8</v>
      </c>
      <c r="BV367" s="43">
        <f t="shared" si="17"/>
        <v>332.8</v>
      </c>
      <c r="BW367" s="43">
        <f t="shared" si="17"/>
        <v>377.6</v>
      </c>
      <c r="BX367" s="43">
        <f t="shared" si="17"/>
        <v>366.4</v>
      </c>
      <c r="BY367" s="43">
        <f t="shared" si="17"/>
        <v>410.4</v>
      </c>
      <c r="BZ367" s="43">
        <f t="shared" si="17"/>
        <v>399.2</v>
      </c>
      <c r="CA367" s="43">
        <f t="shared" si="17"/>
        <v>375.2</v>
      </c>
      <c r="CB367" s="43">
        <f t="shared" si="17"/>
        <v>368</v>
      </c>
      <c r="CC367" s="43">
        <f t="shared" si="17"/>
        <v>372</v>
      </c>
      <c r="CD367" s="43">
        <f t="shared" si="17"/>
        <v>373.6</v>
      </c>
      <c r="CE367" s="43">
        <f t="shared" si="17"/>
        <v>385.6</v>
      </c>
      <c r="CF367" s="43">
        <f t="shared" si="17"/>
        <v>381.6</v>
      </c>
      <c r="CG367" s="43">
        <f t="shared" si="17"/>
        <v>355.2</v>
      </c>
      <c r="CH367" s="43">
        <f t="shared" si="17"/>
        <v>356</v>
      </c>
      <c r="CI367" s="43">
        <f t="shared" si="17"/>
        <v>353.6</v>
      </c>
      <c r="CJ367" s="43">
        <f t="shared" si="17"/>
        <v>363.2</v>
      </c>
      <c r="CK367" s="43">
        <f t="shared" si="17"/>
        <v>324</v>
      </c>
      <c r="CL367" s="43">
        <f t="shared" si="17"/>
        <v>321.6</v>
      </c>
      <c r="CM367" s="43">
        <f t="shared" si="17"/>
        <v>327.2</v>
      </c>
      <c r="CN367" s="43">
        <f t="shared" si="17"/>
        <v>307.2</v>
      </c>
      <c r="CO367" s="43">
        <f t="shared" si="17"/>
        <v>308</v>
      </c>
      <c r="CP367" s="43">
        <f t="shared" si="17"/>
        <v>300.8</v>
      </c>
      <c r="CQ367" s="43">
        <f t="shared" si="17"/>
        <v>323.2</v>
      </c>
      <c r="CR367" s="43">
        <f t="shared" si="17"/>
        <v>307.2</v>
      </c>
      <c r="CS367" s="43">
        <f t="shared" si="17"/>
        <v>354.4</v>
      </c>
    </row>
    <row r="372" s="41" customFormat="1" customHeight="1" spans="1:108"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45"/>
      <c r="CU372" s="46"/>
      <c r="CV372" s="46"/>
      <c r="CX372" s="47"/>
      <c r="DD372"/>
    </row>
    <row r="373" s="43" customFormat="1" customHeight="1" spans="1:108">
      <c r="A373" s="41"/>
      <c r="CT373" s="42"/>
      <c r="CX373" s="42"/>
      <c r="DD373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A41"/>
  <sheetViews>
    <sheetView zoomScale="130" zoomScaleNormal="130" topLeftCell="A21" workbookViewId="0">
      <selection activeCell="G35" sqref="G35"/>
    </sheetView>
  </sheetViews>
  <sheetFormatPr defaultColWidth="8.88181818181818" defaultRowHeight="14"/>
  <cols>
    <col min="1" max="1" width="10.1272727272727" customWidth="1"/>
    <col min="4" max="6" width="12.8909090909091"/>
    <col min="7" max="7" width="17" customWidth="1"/>
    <col min="8" max="8" width="12.6636363636364" customWidth="1"/>
    <col min="9" max="9" width="14.4454545454545" customWidth="1"/>
    <col min="10" max="10" width="14" customWidth="1"/>
    <col min="11" max="11" width="12.8181818181818"/>
    <col min="12" max="12" width="14.5545454545455" customWidth="1"/>
    <col min="13" max="13" width="12.8181818181818"/>
    <col min="14" max="14" width="9.54545454545454"/>
    <col min="17" max="17" width="15.5" customWidth="1"/>
    <col min="18" max="18" width="13.5" customWidth="1"/>
  </cols>
  <sheetData>
    <row r="1" ht="36" spans="1:27">
      <c r="A1" s="4" t="s">
        <v>410</v>
      </c>
      <c r="B1" s="4" t="s">
        <v>411</v>
      </c>
      <c r="C1" s="4" t="s">
        <v>412</v>
      </c>
      <c r="D1" s="4" t="s">
        <v>413</v>
      </c>
      <c r="E1" s="4" t="s">
        <v>414</v>
      </c>
      <c r="F1" s="4" t="s">
        <v>415</v>
      </c>
      <c r="G1" s="4" t="s">
        <v>416</v>
      </c>
      <c r="H1" s="5" t="s">
        <v>417</v>
      </c>
      <c r="I1" s="4" t="s">
        <v>418</v>
      </c>
      <c r="J1" s="4" t="s">
        <v>419</v>
      </c>
      <c r="K1" s="4" t="s">
        <v>420</v>
      </c>
      <c r="L1" s="4" t="s">
        <v>421</v>
      </c>
      <c r="M1" s="6" t="s">
        <v>422</v>
      </c>
      <c r="N1" s="6" t="s">
        <v>423</v>
      </c>
      <c r="O1" s="6" t="s">
        <v>424</v>
      </c>
      <c r="P1" s="7" t="s">
        <v>425</v>
      </c>
      <c r="Q1" s="4" t="s">
        <v>426</v>
      </c>
      <c r="R1" s="4" t="s">
        <v>427</v>
      </c>
      <c r="S1" s="4" t="s">
        <v>428</v>
      </c>
      <c r="T1" s="4" t="s">
        <v>429</v>
      </c>
      <c r="U1" s="8"/>
      <c r="V1" s="8"/>
      <c r="W1" s="8"/>
      <c r="X1" s="8"/>
      <c r="Y1" s="8"/>
      <c r="Z1" s="8"/>
      <c r="AA1" s="8"/>
    </row>
    <row r="2" spans="1:27">
      <c r="A2" s="9">
        <v>45658</v>
      </c>
      <c r="B2" s="10">
        <v>1.27541</v>
      </c>
      <c r="C2" s="10">
        <v>1.07497</v>
      </c>
      <c r="D2" s="10">
        <v>0.61657</v>
      </c>
      <c r="E2" s="10">
        <v>0.28052</v>
      </c>
      <c r="F2" s="11">
        <f>'基本数据输入&amp;测算结果'!$C$20</f>
        <v>500</v>
      </c>
      <c r="G2" s="12" t="s">
        <v>430</v>
      </c>
      <c r="H2" s="13">
        <v>0.9</v>
      </c>
      <c r="I2" s="14">
        <v>0.922</v>
      </c>
      <c r="J2" s="11">
        <f>SUM('负荷数据&amp;测算'!DB2:DB32)/2</f>
        <v>1</v>
      </c>
      <c r="K2" s="15">
        <f>((F2*H2*I2*D2*J2-F2*H2/I2*E2*J2)+(F2*H2*I2*B2*P2*J2+F2*H2*I2*C2*(1-P2)*J2-F2*H2/I2*E2*J2))/10000</f>
        <v>0.0430676144888531</v>
      </c>
      <c r="L2" s="15">
        <f t="shared" ref="L2:L13" si="0">K2/J2</f>
        <v>0.0430676144888531</v>
      </c>
      <c r="M2" s="15">
        <f t="shared" ref="M2:M13" si="1">L2*10000/F2</f>
        <v>0.861352289777063</v>
      </c>
      <c r="N2" s="15">
        <f>K2/(F2*H2*I2*2*J2)*10000</f>
        <v>0.519011984681286</v>
      </c>
      <c r="O2" s="16">
        <f>'基本数据输入&amp;测算结果'!R19</f>
        <v>0</v>
      </c>
      <c r="P2" s="16">
        <f>'基本数据输入&amp;测算结果'!S19</f>
        <v>0.032258064516129</v>
      </c>
      <c r="Q2" s="17">
        <f>'基本数据输入&amp;测算结果'!G19</f>
        <v>0.032258064516129</v>
      </c>
      <c r="R2" s="17">
        <f>'基本数据输入&amp;测算结果'!K19</f>
        <v>0.032258064516129</v>
      </c>
      <c r="S2" s="17">
        <f>'基本数据输入&amp;测算结果'!H19</f>
        <v>0.032258064516129</v>
      </c>
      <c r="T2" s="17">
        <f>'基本数据输入&amp;测算结果'!L19</f>
        <v>0.032258064516129</v>
      </c>
      <c r="U2" s="18"/>
      <c r="V2" s="18"/>
      <c r="W2" s="19"/>
      <c r="X2" s="20"/>
      <c r="Y2" s="21"/>
      <c r="Z2" s="20"/>
      <c r="AA2" s="20"/>
    </row>
    <row r="3" spans="1:27">
      <c r="A3" s="22">
        <v>45689</v>
      </c>
      <c r="B3" s="10"/>
      <c r="C3" s="10">
        <v>0.95171</v>
      </c>
      <c r="D3" s="10">
        <v>0.55992</v>
      </c>
      <c r="E3" s="10">
        <v>0.23272</v>
      </c>
      <c r="F3" s="11">
        <f>'基本数据输入&amp;测算结果'!$C$20</f>
        <v>500</v>
      </c>
      <c r="G3" s="12" t="s">
        <v>431</v>
      </c>
      <c r="H3" s="13">
        <v>0.9</v>
      </c>
      <c r="I3" s="14">
        <v>0.922</v>
      </c>
      <c r="J3" s="11">
        <f>SUM('负荷数据&amp;测算'!DB33:DB60)/2</f>
        <v>0</v>
      </c>
      <c r="K3" s="15">
        <f t="shared" ref="K3:K7" si="2">((F3*H3*I3*B3*O3*J3+F3*H3*I3*C3*(1-O3)*J3-F3*H3/I3*E3*J3)+(F3*H3*I3*B3*P3*J3+F3*H3*I3*C3*(1-P3)*J3-F3*H3/I3*E3*J3))/10000</f>
        <v>0</v>
      </c>
      <c r="L3" s="15" t="e">
        <f t="shared" si="0"/>
        <v>#DIV/0!</v>
      </c>
      <c r="M3" s="15" t="e">
        <f t="shared" si="1"/>
        <v>#DIV/0!</v>
      </c>
      <c r="N3" s="15" t="e">
        <f t="shared" ref="N3:N13" si="3">K3/(F3*H3*I3*2*J3)*10000</f>
        <v>#DIV/0!</v>
      </c>
      <c r="O3" s="16">
        <f>'基本数据输入&amp;测算结果'!R20</f>
        <v>0</v>
      </c>
      <c r="P3" s="16">
        <f>'基本数据输入&amp;测算结果'!S20</f>
        <v>0</v>
      </c>
      <c r="Q3" s="17">
        <f>'基本数据输入&amp;测算结果'!G20</f>
        <v>0</v>
      </c>
      <c r="R3" s="17">
        <f>'基本数据输入&amp;测算结果'!K20</f>
        <v>0</v>
      </c>
      <c r="S3" s="17">
        <f>'基本数据输入&amp;测算结果'!H20</f>
        <v>0</v>
      </c>
      <c r="T3" s="17">
        <f>'基本数据输入&amp;测算结果'!L20</f>
        <v>0</v>
      </c>
    </row>
    <row r="4" spans="1:27">
      <c r="A4" s="23">
        <v>45717</v>
      </c>
      <c r="B4" s="10"/>
      <c r="C4" s="10">
        <v>1.04206</v>
      </c>
      <c r="D4" s="10">
        <v>0.63966</v>
      </c>
      <c r="E4" s="10">
        <v>0.30361</v>
      </c>
      <c r="F4" s="11">
        <f>'基本数据输入&amp;测算结果'!$C$20</f>
        <v>500</v>
      </c>
      <c r="G4" s="12" t="s">
        <v>431</v>
      </c>
      <c r="H4" s="13">
        <v>0.9</v>
      </c>
      <c r="I4" s="14">
        <v>0.922</v>
      </c>
      <c r="J4" s="11">
        <f>SUM('负荷数据&amp;测算'!DB61:DB91)/2</f>
        <v>0</v>
      </c>
      <c r="K4" s="15">
        <f t="shared" si="2"/>
        <v>0</v>
      </c>
      <c r="L4" s="15" t="e">
        <f t="shared" si="0"/>
        <v>#DIV/0!</v>
      </c>
      <c r="M4" s="15" t="e">
        <f t="shared" si="1"/>
        <v>#DIV/0!</v>
      </c>
      <c r="N4" s="15" t="e">
        <f t="shared" si="3"/>
        <v>#DIV/0!</v>
      </c>
      <c r="O4" s="16">
        <f>'基本数据输入&amp;测算结果'!R21</f>
        <v>0</v>
      </c>
      <c r="P4" s="16">
        <f>'基本数据输入&amp;测算结果'!S21</f>
        <v>0</v>
      </c>
      <c r="Q4" s="17">
        <f>'基本数据输入&amp;测算结果'!G21</f>
        <v>0</v>
      </c>
      <c r="R4" s="17">
        <f>'基本数据输入&amp;测算结果'!K21</f>
        <v>0</v>
      </c>
      <c r="S4" s="17">
        <f>'基本数据输入&amp;测算结果'!H21</f>
        <v>0</v>
      </c>
      <c r="T4" s="17">
        <f>'基本数据输入&amp;测算结果'!L21</f>
        <v>0</v>
      </c>
      <c r="X4" s="24"/>
    </row>
    <row r="5" spans="1:27">
      <c r="A5" s="23">
        <v>45748</v>
      </c>
      <c r="B5" s="10"/>
      <c r="C5" s="10">
        <v>1.03829</v>
      </c>
      <c r="D5" s="10">
        <v>0.63589</v>
      </c>
      <c r="E5" s="10">
        <v>0.29984</v>
      </c>
      <c r="F5" s="11">
        <f>'基本数据输入&amp;测算结果'!$C$20</f>
        <v>500</v>
      </c>
      <c r="G5" s="12" t="s">
        <v>431</v>
      </c>
      <c r="H5" s="13">
        <v>0.9</v>
      </c>
      <c r="I5" s="14">
        <v>0.922</v>
      </c>
      <c r="J5" s="11">
        <f>SUM('负荷数据&amp;测算'!DB92:DB121)/2</f>
        <v>0</v>
      </c>
      <c r="K5" s="15">
        <f t="shared" si="2"/>
        <v>0</v>
      </c>
      <c r="L5" s="15" t="e">
        <f t="shared" si="0"/>
        <v>#DIV/0!</v>
      </c>
      <c r="M5" s="15" t="e">
        <f t="shared" si="1"/>
        <v>#DIV/0!</v>
      </c>
      <c r="N5" s="15" t="e">
        <f t="shared" si="3"/>
        <v>#DIV/0!</v>
      </c>
      <c r="O5" s="16">
        <f>'基本数据输入&amp;测算结果'!R22</f>
        <v>0</v>
      </c>
      <c r="P5" s="16">
        <f>'基本数据输入&amp;测算结果'!S22</f>
        <v>0</v>
      </c>
      <c r="Q5" s="17">
        <f>'基本数据输入&amp;测算结果'!G22</f>
        <v>0</v>
      </c>
      <c r="R5" s="17">
        <f>'基本数据输入&amp;测算结果'!K22</f>
        <v>0</v>
      </c>
      <c r="S5" s="17">
        <f>'基本数据输入&amp;测算结果'!H22</f>
        <v>0</v>
      </c>
      <c r="T5" s="17">
        <f>'基本数据输入&amp;测算结果'!L22</f>
        <v>0</v>
      </c>
      <c r="X5" s="24"/>
    </row>
    <row r="6" spans="1:27">
      <c r="A6" s="23">
        <v>45778</v>
      </c>
      <c r="B6" s="10"/>
      <c r="C6" s="10">
        <v>1.0485</v>
      </c>
      <c r="D6" s="10">
        <v>0.6461</v>
      </c>
      <c r="E6" s="10">
        <v>0.31005</v>
      </c>
      <c r="F6" s="11">
        <f>'基本数据输入&amp;测算结果'!$C$20</f>
        <v>500</v>
      </c>
      <c r="G6" s="12" t="s">
        <v>431</v>
      </c>
      <c r="H6" s="13">
        <v>0.9</v>
      </c>
      <c r="I6" s="14">
        <v>0.922</v>
      </c>
      <c r="J6" s="11">
        <f>SUM('负荷数据&amp;测算'!DB122:DB152)/2</f>
        <v>0</v>
      </c>
      <c r="K6" s="15">
        <f t="shared" si="2"/>
        <v>0</v>
      </c>
      <c r="L6" s="15" t="e">
        <f t="shared" si="0"/>
        <v>#DIV/0!</v>
      </c>
      <c r="M6" s="15" t="e">
        <f t="shared" si="1"/>
        <v>#DIV/0!</v>
      </c>
      <c r="N6" s="15" t="e">
        <f t="shared" si="3"/>
        <v>#DIV/0!</v>
      </c>
      <c r="O6" s="16">
        <f>'基本数据输入&amp;测算结果'!R23</f>
        <v>0</v>
      </c>
      <c r="P6" s="16">
        <f>'基本数据输入&amp;测算结果'!S23</f>
        <v>0</v>
      </c>
      <c r="Q6" s="17">
        <f>'基本数据输入&amp;测算结果'!G23</f>
        <v>0</v>
      </c>
      <c r="R6" s="17">
        <f>'基本数据输入&amp;测算结果'!K23</f>
        <v>0</v>
      </c>
      <c r="S6" s="17">
        <f>'基本数据输入&amp;测算结果'!H23</f>
        <v>0</v>
      </c>
      <c r="T6" s="17">
        <f>'基本数据输入&amp;测算结果'!L23</f>
        <v>0</v>
      </c>
      <c r="X6" s="24"/>
    </row>
    <row r="7" spans="1:27">
      <c r="A7" s="22">
        <v>45809</v>
      </c>
      <c r="B7" s="10"/>
      <c r="C7" s="10">
        <v>1.0516</v>
      </c>
      <c r="D7" s="10">
        <v>0.6492</v>
      </c>
      <c r="E7" s="10">
        <v>0.31315</v>
      </c>
      <c r="F7" s="11">
        <f>'基本数据输入&amp;测算结果'!$C$20</f>
        <v>500</v>
      </c>
      <c r="G7" s="12" t="s">
        <v>431</v>
      </c>
      <c r="H7" s="13">
        <v>0.9</v>
      </c>
      <c r="I7" s="14">
        <v>0.922</v>
      </c>
      <c r="J7" s="11">
        <f>SUM('负荷数据&amp;测算'!DB153:DB182)/2</f>
        <v>0</v>
      </c>
      <c r="K7" s="15">
        <f t="shared" si="2"/>
        <v>0</v>
      </c>
      <c r="L7" s="15" t="e">
        <f t="shared" si="0"/>
        <v>#DIV/0!</v>
      </c>
      <c r="M7" s="15" t="e">
        <f t="shared" si="1"/>
        <v>#DIV/0!</v>
      </c>
      <c r="N7" s="15" t="e">
        <f t="shared" si="3"/>
        <v>#DIV/0!</v>
      </c>
      <c r="O7" s="16">
        <f>'基本数据输入&amp;测算结果'!R24</f>
        <v>0</v>
      </c>
      <c r="P7" s="16">
        <f>'基本数据输入&amp;测算结果'!S24</f>
        <v>0</v>
      </c>
      <c r="Q7" s="17">
        <f>'基本数据输入&amp;测算结果'!G24</f>
        <v>0</v>
      </c>
      <c r="R7" s="17">
        <f>'基本数据输入&amp;测算结果'!K24</f>
        <v>0</v>
      </c>
      <c r="S7" s="17">
        <f>'基本数据输入&amp;测算结果'!H24</f>
        <v>0</v>
      </c>
      <c r="T7" s="17">
        <f>'基本数据输入&amp;测算结果'!L24</f>
        <v>0</v>
      </c>
      <c r="X7" s="24"/>
    </row>
    <row r="8" spans="1:27">
      <c r="A8" s="9">
        <v>45474</v>
      </c>
      <c r="B8" s="10">
        <v>1.30899</v>
      </c>
      <c r="C8" s="10">
        <v>1.10855</v>
      </c>
      <c r="D8" s="10">
        <v>0.65015</v>
      </c>
      <c r="E8" s="10">
        <v>0.3141</v>
      </c>
      <c r="F8" s="11">
        <f>'基本数据输入&amp;测算结果'!$C$20</f>
        <v>500</v>
      </c>
      <c r="G8" s="12" t="s">
        <v>430</v>
      </c>
      <c r="H8" s="13">
        <v>0.9</v>
      </c>
      <c r="I8" s="14">
        <v>0.922</v>
      </c>
      <c r="J8" s="11">
        <f>SUM('负荷数据&amp;测算'!DB183:DB213)/2</f>
        <v>0</v>
      </c>
      <c r="K8" s="15">
        <f t="shared" ref="K8:K10" si="4">((F8*H8*I8*D8*J8-F8*H8/I8*E8*J8)+(F8*H8*I8*B8*P8*J8+F8*H8*I8*C8*(1-P8)*J8-F8*H8/I8*E8*J8))/10000</f>
        <v>0</v>
      </c>
      <c r="L8" s="15" t="e">
        <f t="shared" si="0"/>
        <v>#DIV/0!</v>
      </c>
      <c r="M8" s="15" t="e">
        <f t="shared" si="1"/>
        <v>#DIV/0!</v>
      </c>
      <c r="N8" s="15" t="e">
        <f t="shared" si="3"/>
        <v>#DIV/0!</v>
      </c>
      <c r="O8" s="16">
        <f>'基本数据输入&amp;测算结果'!R25</f>
        <v>0</v>
      </c>
      <c r="P8" s="16">
        <f>'基本数据输入&amp;测算结果'!S25</f>
        <v>0</v>
      </c>
      <c r="Q8" s="17">
        <f>'基本数据输入&amp;测算结果'!G25</f>
        <v>0</v>
      </c>
      <c r="R8" s="17">
        <f>'基本数据输入&amp;测算结果'!K25</f>
        <v>0</v>
      </c>
      <c r="S8" s="17">
        <f>AVERAGE('基本数据输入&amp;测算结果'!H25,'基本数据输入&amp;测算结果'!I25)</f>
        <v>0</v>
      </c>
      <c r="T8" s="17">
        <f>AVERAGE('基本数据输入&amp;测算结果'!L25,'基本数据输入&amp;测算结果'!M25)</f>
        <v>0</v>
      </c>
      <c r="X8" s="24"/>
    </row>
    <row r="9" spans="1:27">
      <c r="A9" s="9">
        <v>45505</v>
      </c>
      <c r="B9" s="10">
        <v>1.28332</v>
      </c>
      <c r="C9" s="10">
        <v>1.07893</v>
      </c>
      <c r="D9" s="10">
        <v>0.51148</v>
      </c>
      <c r="E9" s="10">
        <v>0.2688</v>
      </c>
      <c r="F9" s="11">
        <f>'基本数据输入&amp;测算结果'!$C$20</f>
        <v>500</v>
      </c>
      <c r="G9" s="12" t="s">
        <v>430</v>
      </c>
      <c r="H9" s="13">
        <v>0.9</v>
      </c>
      <c r="I9" s="14">
        <v>0.922</v>
      </c>
      <c r="J9" s="11">
        <f>SUM('负荷数据&amp;测算'!DB214:DB244)/2</f>
        <v>0</v>
      </c>
      <c r="K9" s="15">
        <f t="shared" si="4"/>
        <v>0</v>
      </c>
      <c r="L9" s="15" t="e">
        <f t="shared" si="0"/>
        <v>#DIV/0!</v>
      </c>
      <c r="M9" s="15" t="e">
        <f t="shared" si="1"/>
        <v>#DIV/0!</v>
      </c>
      <c r="N9" s="15" t="e">
        <f t="shared" si="3"/>
        <v>#DIV/0!</v>
      </c>
      <c r="O9" s="16">
        <f>'基本数据输入&amp;测算结果'!R26</f>
        <v>0</v>
      </c>
      <c r="P9" s="16">
        <f>'基本数据输入&amp;测算结果'!S26</f>
        <v>0</v>
      </c>
      <c r="Q9" s="17">
        <f>'基本数据输入&amp;测算结果'!G26</f>
        <v>0</v>
      </c>
      <c r="R9" s="17">
        <f>'基本数据输入&amp;测算结果'!K26</f>
        <v>0</v>
      </c>
      <c r="S9" s="17">
        <f>AVERAGE('基本数据输入&amp;测算结果'!H26,'基本数据输入&amp;测算结果'!I26)</f>
        <v>0</v>
      </c>
      <c r="T9" s="17">
        <f>AVERAGE('基本数据输入&amp;测算结果'!L26,'基本数据输入&amp;测算结果'!M26)</f>
        <v>0</v>
      </c>
      <c r="X9" s="24"/>
    </row>
    <row r="10" spans="1:27">
      <c r="A10" s="9">
        <v>45536</v>
      </c>
      <c r="B10" s="10"/>
      <c r="C10" s="10">
        <v>1.11923</v>
      </c>
      <c r="D10" s="10">
        <v>0.6499</v>
      </c>
      <c r="E10" s="10">
        <v>0.30583</v>
      </c>
      <c r="F10" s="11">
        <f>'基本数据输入&amp;测算结果'!$C$20</f>
        <v>500</v>
      </c>
      <c r="G10" s="12" t="s">
        <v>432</v>
      </c>
      <c r="H10" s="13">
        <v>0.9</v>
      </c>
      <c r="I10" s="14">
        <v>0.922</v>
      </c>
      <c r="J10" s="11">
        <f>SUM('负荷数据&amp;测算'!DB245:DB274)/2</f>
        <v>0</v>
      </c>
      <c r="K10" s="15">
        <f t="shared" si="4"/>
        <v>0</v>
      </c>
      <c r="L10" s="15" t="e">
        <f t="shared" si="0"/>
        <v>#DIV/0!</v>
      </c>
      <c r="M10" s="15" t="e">
        <f t="shared" si="1"/>
        <v>#DIV/0!</v>
      </c>
      <c r="N10" s="15" t="e">
        <f t="shared" si="3"/>
        <v>#DIV/0!</v>
      </c>
      <c r="O10" s="16">
        <f>'基本数据输入&amp;测算结果'!R27</f>
        <v>0</v>
      </c>
      <c r="P10" s="16">
        <f>'基本数据输入&amp;测算结果'!S27</f>
        <v>0</v>
      </c>
      <c r="Q10" s="17">
        <f>'基本数据输入&amp;测算结果'!G27</f>
        <v>0</v>
      </c>
      <c r="R10" s="17">
        <f>'基本数据输入&amp;测算结果'!K27</f>
        <v>0</v>
      </c>
      <c r="S10" s="17">
        <f>'基本数据输入&amp;测算结果'!H27</f>
        <v>0</v>
      </c>
      <c r="T10" s="17">
        <f>'基本数据输入&amp;测算结果'!L27</f>
        <v>0</v>
      </c>
      <c r="X10" s="24"/>
    </row>
    <row r="11" spans="1:27">
      <c r="A11" s="23">
        <v>45566</v>
      </c>
      <c r="B11" s="10"/>
      <c r="C11" s="10">
        <v>1.05511</v>
      </c>
      <c r="D11" s="10">
        <v>0.64319</v>
      </c>
      <c r="E11" s="10">
        <v>0.29918</v>
      </c>
      <c r="F11" s="11">
        <f>'基本数据输入&amp;测算结果'!$C$20</f>
        <v>500</v>
      </c>
      <c r="G11" s="12" t="s">
        <v>431</v>
      </c>
      <c r="H11" s="13">
        <v>0.9</v>
      </c>
      <c r="I11" s="14">
        <v>0.922</v>
      </c>
      <c r="J11" s="11">
        <f>SUM('负荷数据&amp;测算'!DB275:DB305)/2</f>
        <v>0</v>
      </c>
      <c r="K11" s="15">
        <f>((F11*H11*I11*B11*O11*J11+F11*H11*I11*C11*(1-O11)*J11-F11*H11/I11*E11*J11)+(F11*H11*I11*B11*P11*J11+F11*H11*I11*C11*(1-P11)*J11-F11*H11/I11*E11*J11))/10000</f>
        <v>0</v>
      </c>
      <c r="L11" s="15" t="e">
        <f t="shared" si="0"/>
        <v>#DIV/0!</v>
      </c>
      <c r="M11" s="15" t="e">
        <f t="shared" si="1"/>
        <v>#DIV/0!</v>
      </c>
      <c r="N11" s="15" t="e">
        <f t="shared" si="3"/>
        <v>#DIV/0!</v>
      </c>
      <c r="O11" s="16">
        <f>'基本数据输入&amp;测算结果'!R28</f>
        <v>0</v>
      </c>
      <c r="P11" s="16">
        <f>'基本数据输入&amp;测算结果'!S28</f>
        <v>0</v>
      </c>
      <c r="Q11" s="17">
        <f>'基本数据输入&amp;测算结果'!G28</f>
        <v>0</v>
      </c>
      <c r="R11" s="17">
        <f>'基本数据输入&amp;测算结果'!K28</f>
        <v>0</v>
      </c>
      <c r="S11" s="17">
        <f>'基本数据输入&amp;测算结果'!H28</f>
        <v>0</v>
      </c>
      <c r="T11" s="17">
        <f>'基本数据输入&amp;测算结果'!L28</f>
        <v>0</v>
      </c>
      <c r="X11" s="24"/>
    </row>
    <row r="12" spans="1:27">
      <c r="A12" s="23">
        <v>45597</v>
      </c>
      <c r="B12" s="10"/>
      <c r="C12" s="10">
        <v>1.03214</v>
      </c>
      <c r="D12" s="10">
        <v>0.62017</v>
      </c>
      <c r="E12" s="10">
        <v>0.27613</v>
      </c>
      <c r="F12" s="11">
        <f>'基本数据输入&amp;测算结果'!$C$20</f>
        <v>500</v>
      </c>
      <c r="G12" s="12" t="s">
        <v>431</v>
      </c>
      <c r="H12" s="13">
        <v>0.9</v>
      </c>
      <c r="I12" s="14">
        <v>0.922</v>
      </c>
      <c r="J12" s="11">
        <f>SUM('负荷数据&amp;测算'!DB306:DB335)/2</f>
        <v>0</v>
      </c>
      <c r="K12" s="15">
        <f>((F12*H12*I12*B12*O12*J12+F12*H12*I12*C12*(1-O12)*J12-F12*H12/I12*E12*J12)+(F12*H12*I12*B12*P12*J12+F12*H12*I12*C12*(1-P12)*J12-F12*H12/I12*E12*J12))/10000</f>
        <v>0</v>
      </c>
      <c r="L12" s="15" t="e">
        <f t="shared" si="0"/>
        <v>#DIV/0!</v>
      </c>
      <c r="M12" s="15" t="e">
        <f t="shared" si="1"/>
        <v>#DIV/0!</v>
      </c>
      <c r="N12" s="15" t="e">
        <f t="shared" si="3"/>
        <v>#DIV/0!</v>
      </c>
      <c r="O12" s="16">
        <f>'基本数据输入&amp;测算结果'!R29</f>
        <v>0</v>
      </c>
      <c r="P12" s="16">
        <f>'基本数据输入&amp;测算结果'!S29</f>
        <v>0</v>
      </c>
      <c r="Q12" s="17">
        <f>'基本数据输入&amp;测算结果'!G29</f>
        <v>0</v>
      </c>
      <c r="R12" s="17">
        <f>'基本数据输入&amp;测算结果'!K29</f>
        <v>0</v>
      </c>
      <c r="S12" s="17">
        <f>'基本数据输入&amp;测算结果'!H29</f>
        <v>0</v>
      </c>
      <c r="T12" s="17">
        <f>'基本数据输入&amp;测算结果'!L29</f>
        <v>0</v>
      </c>
      <c r="X12" s="24"/>
    </row>
    <row r="13" spans="1:27">
      <c r="A13" s="9">
        <v>45627</v>
      </c>
      <c r="B13" s="10">
        <v>1.2675</v>
      </c>
      <c r="C13" s="10">
        <v>1.06338</v>
      </c>
      <c r="D13" s="10">
        <v>0.59655</v>
      </c>
      <c r="E13" s="10">
        <v>0.25432</v>
      </c>
      <c r="F13" s="11">
        <f>'基本数据输入&amp;测算结果'!$C$20</f>
        <v>500</v>
      </c>
      <c r="G13" s="12" t="s">
        <v>430</v>
      </c>
      <c r="H13" s="13">
        <v>0.9</v>
      </c>
      <c r="I13" s="14">
        <v>0.922</v>
      </c>
      <c r="J13" s="11">
        <f>SUM('负荷数据&amp;测算'!DB336:DB366)/2</f>
        <v>0</v>
      </c>
      <c r="K13" s="15">
        <f>((F13*H13*I13*D13*J13-F13*H13/I13*E13*J13)+(F13*H13*I13*B13*P13*J13+F13*H13*I13*C13*(1-P13)*J13-F13*H13/I13*E13*J13))/10000</f>
        <v>0</v>
      </c>
      <c r="L13" s="15" t="e">
        <f t="shared" si="0"/>
        <v>#DIV/0!</v>
      </c>
      <c r="M13" s="15" t="e">
        <f t="shared" si="1"/>
        <v>#DIV/0!</v>
      </c>
      <c r="N13" s="15" t="e">
        <f t="shared" si="3"/>
        <v>#DIV/0!</v>
      </c>
      <c r="O13" s="16">
        <f>'基本数据输入&amp;测算结果'!R30</f>
        <v>0</v>
      </c>
      <c r="P13" s="16">
        <f>'基本数据输入&amp;测算结果'!S30</f>
        <v>0</v>
      </c>
      <c r="Q13" s="17">
        <f>'基本数据输入&amp;测算结果'!G30</f>
        <v>0</v>
      </c>
      <c r="R13" s="17">
        <f>'基本数据输入&amp;测算结果'!K30</f>
        <v>0</v>
      </c>
      <c r="S13" s="17">
        <f>'基本数据输入&amp;测算结果'!H30</f>
        <v>0</v>
      </c>
      <c r="T13" s="17">
        <f>'基本数据输入&amp;测算结果'!L30</f>
        <v>0</v>
      </c>
      <c r="X13" s="24"/>
    </row>
    <row r="14" ht="24" spans="1:27">
      <c r="A14" s="25" t="s">
        <v>433</v>
      </c>
      <c r="B14" s="26"/>
      <c r="C14" s="26"/>
      <c r="D14" s="26"/>
      <c r="E14" s="26"/>
      <c r="F14" s="26"/>
      <c r="G14" s="26"/>
      <c r="H14" s="27"/>
      <c r="I14" s="26"/>
      <c r="J14" s="11">
        <f>SUM(J2:J13)</f>
        <v>1</v>
      </c>
      <c r="K14" s="15">
        <f>SUM(K2:K13)/J14</f>
        <v>0.0430676144888531</v>
      </c>
      <c r="L14" s="15"/>
      <c r="M14" s="28"/>
      <c r="N14" s="28" t="e">
        <f>AVERAGE(N2:N13)</f>
        <v>#DIV/0!</v>
      </c>
      <c r="X14" s="24"/>
    </row>
    <row r="15" spans="1:27">
      <c r="A15" s="4" t="s">
        <v>434</v>
      </c>
      <c r="B15" s="26"/>
      <c r="C15" s="26"/>
      <c r="D15" s="26"/>
      <c r="E15" s="26"/>
      <c r="F15" s="26"/>
      <c r="G15" s="26"/>
      <c r="H15" s="5"/>
      <c r="I15" s="26"/>
      <c r="J15" s="11">
        <f>INT('基本数据输入&amp;测算结果'!O32)-5</f>
        <v>-5</v>
      </c>
      <c r="K15" s="15">
        <f>SUM(K2:K13)*J15/J14</f>
        <v>-0.215338072444266</v>
      </c>
      <c r="L15" s="15"/>
      <c r="M15" s="28"/>
      <c r="N15" s="28"/>
      <c r="X15" s="24"/>
    </row>
    <row r="16" spans="1:27">
      <c r="X16" s="24"/>
    </row>
    <row r="17" spans="1:24">
      <c r="X17" s="24"/>
    </row>
    <row r="18" spans="1:24">
      <c r="I18" s="4" t="s">
        <v>419</v>
      </c>
      <c r="J18" s="29" t="s">
        <v>435</v>
      </c>
      <c r="K18" s="29" t="s">
        <v>436</v>
      </c>
      <c r="L18" s="29" t="s">
        <v>437</v>
      </c>
      <c r="M18" s="29" t="s">
        <v>438</v>
      </c>
      <c r="N18" s="29"/>
      <c r="P18" s="29" t="s">
        <v>437</v>
      </c>
      <c r="Q18" s="29" t="s">
        <v>431</v>
      </c>
      <c r="R18" s="29"/>
      <c r="X18" s="24"/>
    </row>
    <row r="19" ht="14.75" spans="1:24">
      <c r="H19" s="9">
        <v>45658</v>
      </c>
      <c r="I19" s="30">
        <f>J2</f>
        <v>1</v>
      </c>
      <c r="J19" s="31">
        <f>F2*H2*I2</f>
        <v>414.9</v>
      </c>
      <c r="K19" s="31">
        <f>F2*H2/I2</f>
        <v>488.069414316703</v>
      </c>
      <c r="L19" s="29">
        <f>I19*(J19*D2-K19*E2)</f>
        <v>118.901660895878</v>
      </c>
      <c r="M19" s="29">
        <f>I19*(J19*C2*(1-P2)+J19*B2*P2-K19*E2)</f>
        <v>311.774483992653</v>
      </c>
      <c r="N19" s="29"/>
      <c r="P19" s="29">
        <v>1</v>
      </c>
      <c r="Q19" s="29">
        <v>1</v>
      </c>
      <c r="R19" s="29" cm="1">
        <f t="array" ref="R19">SUMPRODUCT(L19:M19,P19:Q19)/10000</f>
        <v>0.0430676144888531</v>
      </c>
      <c r="X19" s="24"/>
    </row>
    <row r="20" ht="24.75" spans="1:24">
      <c r="A20" s="32" t="s">
        <v>439</v>
      </c>
      <c r="B20" s="33" t="s">
        <v>440</v>
      </c>
      <c r="C20" s="34" t="s">
        <v>441</v>
      </c>
      <c r="D20" s="33" t="s">
        <v>442</v>
      </c>
      <c r="E20" s="33" t="s">
        <v>443</v>
      </c>
      <c r="F20" s="33" t="s">
        <v>444</v>
      </c>
      <c r="H20" s="22">
        <v>45689</v>
      </c>
      <c r="I20" s="30">
        <f t="shared" ref="I20:I30" si="5">J3</f>
        <v>0</v>
      </c>
      <c r="J20" s="31">
        <f t="shared" ref="J20:J30" si="6">F3*H3*I3</f>
        <v>414.9</v>
      </c>
      <c r="K20" s="31">
        <f t="shared" ref="K20:K30" si="7">F3*H3/I3</f>
        <v>488.069414316703</v>
      </c>
      <c r="L20" s="29">
        <f t="shared" ref="L20:L30" si="8">I20*(J20*D3-K20*E3)</f>
        <v>0</v>
      </c>
      <c r="M20" s="29">
        <f t="shared" ref="M20:M30" si="9">I20*(J20*C3*(1-P3)+J20*B3*P3-K20*E3)</f>
        <v>0</v>
      </c>
      <c r="N20" s="29"/>
      <c r="P20" s="29"/>
      <c r="Q20" s="29">
        <v>2</v>
      </c>
      <c r="R20" s="29" cm="1">
        <f t="array" ref="R20">SUMPRODUCT(L20:M20,P20:Q20)/10000</f>
        <v>0</v>
      </c>
      <c r="W20" s="24"/>
    </row>
    <row r="21" ht="14.75" spans="1:24">
      <c r="A21" s="35" t="s">
        <v>445</v>
      </c>
      <c r="B21" s="36">
        <f>K15*(1-C21)</f>
        <v>-0.208877930270938</v>
      </c>
      <c r="C21" s="37">
        <f>[1]基础数据表!I22</f>
        <v>0.03</v>
      </c>
      <c r="D21" s="38">
        <v>0.7</v>
      </c>
      <c r="E21" s="36">
        <f t="shared" ref="E21:E40" si="10">B21*D21</f>
        <v>-0.146214551189656</v>
      </c>
      <c r="F21" s="36">
        <f t="shared" ref="F21:F40" si="11">B21-E21</f>
        <v>-0.0626633790812813</v>
      </c>
      <c r="H21" s="23">
        <v>45717</v>
      </c>
      <c r="I21" s="30">
        <f t="shared" si="5"/>
        <v>0</v>
      </c>
      <c r="J21" s="31">
        <f t="shared" si="6"/>
        <v>414.9</v>
      </c>
      <c r="K21" s="31">
        <f t="shared" si="7"/>
        <v>488.069414316703</v>
      </c>
      <c r="L21" s="29">
        <f t="shared" si="8"/>
        <v>0</v>
      </c>
      <c r="M21" s="29">
        <f t="shared" si="9"/>
        <v>0</v>
      </c>
      <c r="N21" s="29"/>
      <c r="Q21" s="29">
        <v>2</v>
      </c>
      <c r="R21" s="29" cm="1">
        <f t="array" ref="R21">SUMPRODUCT(L21:M21,P21:Q21)/10000</f>
        <v>0</v>
      </c>
      <c r="W21" s="24"/>
    </row>
    <row r="22" ht="14.75" spans="1:24">
      <c r="A22" s="35" t="s">
        <v>446</v>
      </c>
      <c r="B22" s="36">
        <f t="shared" ref="B22:B28" si="12">B21*(1-C22)</f>
        <v>-0.204282615804977</v>
      </c>
      <c r="C22" s="37">
        <f>[1]基础数据表!I23</f>
        <v>0.022</v>
      </c>
      <c r="D22" s="38">
        <f t="shared" ref="D22:D40" si="13">D21</f>
        <v>0.7</v>
      </c>
      <c r="E22" s="36">
        <f t="shared" si="10"/>
        <v>-0.142997831063484</v>
      </c>
      <c r="F22" s="36">
        <f t="shared" si="11"/>
        <v>-0.0612847847414931</v>
      </c>
      <c r="H22" s="23">
        <v>45748</v>
      </c>
      <c r="I22" s="30">
        <f t="shared" si="5"/>
        <v>0</v>
      </c>
      <c r="J22" s="31">
        <f t="shared" si="6"/>
        <v>414.9</v>
      </c>
      <c r="K22" s="31">
        <f t="shared" si="7"/>
        <v>488.069414316703</v>
      </c>
      <c r="L22" s="29">
        <f t="shared" si="8"/>
        <v>0</v>
      </c>
      <c r="M22" s="29">
        <f t="shared" si="9"/>
        <v>0</v>
      </c>
      <c r="N22" s="29"/>
      <c r="Q22" s="29">
        <v>2</v>
      </c>
      <c r="R22" s="29" cm="1">
        <f t="array" ref="R22">SUMPRODUCT(L22:M22,P22:Q22)/10000</f>
        <v>0</v>
      </c>
      <c r="W22" s="24"/>
    </row>
    <row r="23" ht="14.75" spans="1:24">
      <c r="A23" s="35" t="s">
        <v>447</v>
      </c>
      <c r="B23" s="36">
        <f t="shared" si="12"/>
        <v>-0.199788398257268</v>
      </c>
      <c r="C23" s="37">
        <f t="shared" ref="C23:C40" si="14">$C$22</f>
        <v>0.022</v>
      </c>
      <c r="D23" s="38">
        <f t="shared" si="13"/>
        <v>0.7</v>
      </c>
      <c r="E23" s="36">
        <f t="shared" si="10"/>
        <v>-0.139851878780087</v>
      </c>
      <c r="F23" s="36">
        <f t="shared" si="11"/>
        <v>-0.0599365194771803</v>
      </c>
      <c r="H23" s="23">
        <v>45778</v>
      </c>
      <c r="I23" s="30">
        <f t="shared" si="5"/>
        <v>0</v>
      </c>
      <c r="J23" s="31">
        <f t="shared" si="6"/>
        <v>414.9</v>
      </c>
      <c r="K23" s="31">
        <f t="shared" si="7"/>
        <v>488.069414316703</v>
      </c>
      <c r="L23" s="29">
        <f t="shared" si="8"/>
        <v>0</v>
      </c>
      <c r="M23" s="29">
        <f t="shared" si="9"/>
        <v>0</v>
      </c>
      <c r="N23" s="29"/>
      <c r="Q23" s="29">
        <v>2</v>
      </c>
      <c r="R23" s="29" cm="1">
        <f t="array" ref="R23">SUMPRODUCT(L23:M23,P23:Q23)/10000</f>
        <v>0</v>
      </c>
      <c r="W23" s="24"/>
    </row>
    <row r="24" ht="14.75" spans="1:24">
      <c r="A24" s="35" t="s">
        <v>448</v>
      </c>
      <c r="B24" s="36">
        <f t="shared" si="12"/>
        <v>-0.195393053495608</v>
      </c>
      <c r="C24" s="37">
        <f t="shared" si="14"/>
        <v>0.022</v>
      </c>
      <c r="D24" s="38">
        <f t="shared" si="13"/>
        <v>0.7</v>
      </c>
      <c r="E24" s="36">
        <f t="shared" si="10"/>
        <v>-0.136775137446925</v>
      </c>
      <c r="F24" s="36">
        <f t="shared" si="11"/>
        <v>-0.0586179160486823</v>
      </c>
      <c r="H24" s="22">
        <v>45809</v>
      </c>
      <c r="I24" s="30">
        <f t="shared" si="5"/>
        <v>0</v>
      </c>
      <c r="J24" s="31">
        <f t="shared" si="6"/>
        <v>414.9</v>
      </c>
      <c r="K24" s="31">
        <f t="shared" si="7"/>
        <v>488.069414316703</v>
      </c>
      <c r="L24" s="29">
        <f t="shared" si="8"/>
        <v>0</v>
      </c>
      <c r="M24" s="29">
        <f t="shared" si="9"/>
        <v>0</v>
      </c>
      <c r="N24" s="29"/>
      <c r="Q24" s="29">
        <v>2</v>
      </c>
      <c r="R24" s="29" cm="1">
        <f t="array" ref="R24">SUMPRODUCT(L24:M24,P24:Q24)/10000</f>
        <v>0</v>
      </c>
    </row>
    <row r="25" ht="14.75" spans="1:24">
      <c r="A25" s="35" t="s">
        <v>449</v>
      </c>
      <c r="B25" s="36">
        <f t="shared" si="12"/>
        <v>-0.191094406318704</v>
      </c>
      <c r="C25" s="37">
        <f t="shared" si="14"/>
        <v>0.022</v>
      </c>
      <c r="D25" s="38">
        <f t="shared" si="13"/>
        <v>0.7</v>
      </c>
      <c r="E25" s="36">
        <f t="shared" si="10"/>
        <v>-0.133766084423093</v>
      </c>
      <c r="F25" s="36">
        <f t="shared" si="11"/>
        <v>-0.0573283218956113</v>
      </c>
      <c r="H25" s="9">
        <v>45474</v>
      </c>
      <c r="I25" s="30">
        <f t="shared" si="5"/>
        <v>0</v>
      </c>
      <c r="J25" s="31">
        <f t="shared" si="6"/>
        <v>414.9</v>
      </c>
      <c r="K25" s="31">
        <f t="shared" si="7"/>
        <v>488.069414316703</v>
      </c>
      <c r="L25" s="29">
        <f t="shared" si="8"/>
        <v>0</v>
      </c>
      <c r="M25" s="29">
        <f t="shared" si="9"/>
        <v>0</v>
      </c>
      <c r="N25" s="29"/>
      <c r="P25" s="29">
        <v>1</v>
      </c>
      <c r="Q25" s="29">
        <v>1</v>
      </c>
      <c r="R25" s="29" cm="1">
        <f t="array" ref="R25">SUMPRODUCT(L25:M25,P25:Q25)/10000</f>
        <v>0</v>
      </c>
    </row>
    <row r="26" ht="14.75" spans="1:24">
      <c r="A26" s="35" t="s">
        <v>450</v>
      </c>
      <c r="B26" s="36">
        <f t="shared" si="12"/>
        <v>-0.186890329379693</v>
      </c>
      <c r="C26" s="37">
        <f t="shared" si="14"/>
        <v>0.022</v>
      </c>
      <c r="D26" s="38">
        <f t="shared" si="13"/>
        <v>0.7</v>
      </c>
      <c r="E26" s="36">
        <f t="shared" si="10"/>
        <v>-0.130823230565785</v>
      </c>
      <c r="F26" s="36">
        <f t="shared" si="11"/>
        <v>-0.0560670988139078</v>
      </c>
      <c r="H26" s="9">
        <v>45505</v>
      </c>
      <c r="I26" s="30">
        <f t="shared" si="5"/>
        <v>0</v>
      </c>
      <c r="J26" s="31">
        <f t="shared" si="6"/>
        <v>414.9</v>
      </c>
      <c r="K26" s="31">
        <f t="shared" si="7"/>
        <v>488.069414316703</v>
      </c>
      <c r="L26" s="29">
        <f t="shared" si="8"/>
        <v>0</v>
      </c>
      <c r="M26" s="29">
        <f t="shared" si="9"/>
        <v>0</v>
      </c>
      <c r="N26" s="29"/>
      <c r="P26" s="29">
        <v>1</v>
      </c>
      <c r="Q26" s="29">
        <v>1</v>
      </c>
      <c r="R26" s="29" cm="1">
        <f t="array" ref="R26">SUMPRODUCT(L26:M26,P26:Q26)/10000</f>
        <v>0</v>
      </c>
    </row>
    <row r="27" ht="14.75" spans="1:24">
      <c r="A27" s="35" t="s">
        <v>451</v>
      </c>
      <c r="B27" s="36">
        <f t="shared" si="12"/>
        <v>-0.18277874213334</v>
      </c>
      <c r="C27" s="37">
        <f t="shared" si="14"/>
        <v>0.022</v>
      </c>
      <c r="D27" s="38">
        <f t="shared" si="13"/>
        <v>0.7</v>
      </c>
      <c r="E27" s="36">
        <f t="shared" si="10"/>
        <v>-0.127945119493338</v>
      </c>
      <c r="F27" s="36">
        <f t="shared" si="11"/>
        <v>-0.0548336226400019</v>
      </c>
      <c r="H27" s="9">
        <v>45536</v>
      </c>
      <c r="I27" s="30">
        <f t="shared" si="5"/>
        <v>0</v>
      </c>
      <c r="J27" s="31">
        <f t="shared" si="6"/>
        <v>414.9</v>
      </c>
      <c r="K27" s="31">
        <f t="shared" si="7"/>
        <v>488.069414316703</v>
      </c>
      <c r="L27" s="29">
        <f t="shared" si="8"/>
        <v>0</v>
      </c>
      <c r="M27" s="29">
        <f t="shared" si="9"/>
        <v>0</v>
      </c>
      <c r="N27" s="29"/>
      <c r="P27" s="29">
        <v>1</v>
      </c>
      <c r="Q27" s="29">
        <v>1</v>
      </c>
      <c r="R27" s="29" cm="1">
        <f t="array" ref="R27">SUMPRODUCT(L27:M27,P27:Q27)/10000</f>
        <v>0</v>
      </c>
    </row>
    <row r="28" ht="14.75" spans="1:24">
      <c r="A28" s="35" t="s">
        <v>452</v>
      </c>
      <c r="B28" s="36">
        <f t="shared" si="12"/>
        <v>-0.178757609806406</v>
      </c>
      <c r="C28" s="37">
        <f t="shared" si="14"/>
        <v>0.022</v>
      </c>
      <c r="D28" s="38">
        <f t="shared" si="13"/>
        <v>0.7</v>
      </c>
      <c r="E28" s="36">
        <f t="shared" si="10"/>
        <v>-0.125130326864484</v>
      </c>
      <c r="F28" s="36">
        <f t="shared" si="11"/>
        <v>-0.0536272829419218</v>
      </c>
      <c r="H28" s="23">
        <v>45566</v>
      </c>
      <c r="I28" s="30">
        <f t="shared" si="5"/>
        <v>0</v>
      </c>
      <c r="J28" s="31">
        <f t="shared" si="6"/>
        <v>414.9</v>
      </c>
      <c r="K28" s="31">
        <f t="shared" si="7"/>
        <v>488.069414316703</v>
      </c>
      <c r="L28" s="29">
        <f t="shared" si="8"/>
        <v>0</v>
      </c>
      <c r="M28" s="29">
        <f t="shared" si="9"/>
        <v>0</v>
      </c>
      <c r="N28" s="29"/>
      <c r="Q28" s="29">
        <v>2</v>
      </c>
      <c r="R28" s="29" cm="1">
        <f t="array" ref="R28">SUMPRODUCT(L28:M28,P28:Q28)/10000</f>
        <v>0</v>
      </c>
    </row>
    <row r="29" ht="14.75" spans="1:24">
      <c r="A29" s="35" t="s">
        <v>453</v>
      </c>
      <c r="B29" s="36">
        <f>B21</f>
        <v>-0.208877930270938</v>
      </c>
      <c r="C29" s="37">
        <v>0.03</v>
      </c>
      <c r="D29" s="38">
        <f t="shared" si="13"/>
        <v>0.7</v>
      </c>
      <c r="E29" s="36">
        <f t="shared" si="10"/>
        <v>-0.146214551189656</v>
      </c>
      <c r="F29" s="36">
        <f t="shared" si="11"/>
        <v>-0.0626633790812813</v>
      </c>
      <c r="H29" s="23">
        <v>45597</v>
      </c>
      <c r="I29" s="30">
        <f t="shared" si="5"/>
        <v>0</v>
      </c>
      <c r="J29" s="31">
        <f t="shared" si="6"/>
        <v>414.9</v>
      </c>
      <c r="K29" s="31">
        <f t="shared" si="7"/>
        <v>488.069414316703</v>
      </c>
      <c r="L29" s="29">
        <f t="shared" si="8"/>
        <v>0</v>
      </c>
      <c r="M29" s="29">
        <f t="shared" si="9"/>
        <v>0</v>
      </c>
      <c r="N29" s="29"/>
      <c r="Q29" s="29">
        <v>2</v>
      </c>
      <c r="R29" s="29" cm="1">
        <f t="array" ref="R29">SUMPRODUCT(L29:M29,P29:Q29)/10000</f>
        <v>0</v>
      </c>
    </row>
    <row r="30" ht="14.75" spans="1:24">
      <c r="A30" s="35" t="s">
        <v>454</v>
      </c>
      <c r="B30" s="36">
        <f>B29*(1-C30)</f>
        <v>-0.204282615804977</v>
      </c>
      <c r="C30" s="37">
        <f t="shared" si="14"/>
        <v>0.022</v>
      </c>
      <c r="D30" s="38">
        <f t="shared" si="13"/>
        <v>0.7</v>
      </c>
      <c r="E30" s="36">
        <f t="shared" si="10"/>
        <v>-0.142997831063484</v>
      </c>
      <c r="F30" s="36">
        <f t="shared" si="11"/>
        <v>-0.0612847847414931</v>
      </c>
      <c r="H30" s="9">
        <v>45627</v>
      </c>
      <c r="I30" s="30">
        <f t="shared" si="5"/>
        <v>0</v>
      </c>
      <c r="J30" s="31">
        <f t="shared" si="6"/>
        <v>414.9</v>
      </c>
      <c r="K30" s="31">
        <f t="shared" si="7"/>
        <v>488.069414316703</v>
      </c>
      <c r="L30" s="29">
        <f t="shared" si="8"/>
        <v>0</v>
      </c>
      <c r="M30" s="29">
        <f t="shared" si="9"/>
        <v>0</v>
      </c>
      <c r="N30" s="29"/>
      <c r="P30" s="29">
        <v>1</v>
      </c>
      <c r="Q30" s="29">
        <v>1</v>
      </c>
      <c r="R30" s="29" cm="1">
        <f t="array" ref="R30">SUMPRODUCT(L30:M30,P30:Q30)/10000</f>
        <v>0</v>
      </c>
    </row>
    <row r="31" ht="14.75" spans="1:24">
      <c r="A31" s="35" t="s">
        <v>455</v>
      </c>
      <c r="B31" s="36">
        <f t="shared" ref="B31:B40" si="15">B30*(1-C31)</f>
        <v>-0.199788398257268</v>
      </c>
      <c r="C31" s="37">
        <f t="shared" si="14"/>
        <v>0.022</v>
      </c>
      <c r="D31" s="38">
        <f t="shared" si="13"/>
        <v>0.7</v>
      </c>
      <c r="E31" s="36">
        <f t="shared" si="10"/>
        <v>-0.139851878780087</v>
      </c>
      <c r="F31" s="36">
        <f t="shared" si="11"/>
        <v>-0.0599365194771803</v>
      </c>
      <c r="R31">
        <f>SUM(R19:R30)</f>
        <v>0.0430676144888531</v>
      </c>
    </row>
    <row r="32" ht="14.75" spans="1:24">
      <c r="A32" s="35" t="s">
        <v>456</v>
      </c>
      <c r="B32" s="36">
        <f t="shared" si="15"/>
        <v>-0.195393053495608</v>
      </c>
      <c r="C32" s="37">
        <f t="shared" si="14"/>
        <v>0.022</v>
      </c>
      <c r="D32" s="38">
        <f t="shared" si="13"/>
        <v>0.7</v>
      </c>
      <c r="E32" s="36">
        <f t="shared" si="10"/>
        <v>-0.136775137446925</v>
      </c>
      <c r="F32" s="36">
        <f t="shared" si="11"/>
        <v>-0.0586179160486823</v>
      </c>
    </row>
    <row r="33" ht="14.75" spans="1:6">
      <c r="A33" s="35" t="s">
        <v>457</v>
      </c>
      <c r="B33" s="36">
        <f t="shared" si="15"/>
        <v>-0.191094406318704</v>
      </c>
      <c r="C33" s="37">
        <f t="shared" si="14"/>
        <v>0.022</v>
      </c>
      <c r="D33" s="38">
        <f t="shared" si="13"/>
        <v>0.7</v>
      </c>
      <c r="E33" s="36">
        <f t="shared" si="10"/>
        <v>-0.133766084423093</v>
      </c>
      <c r="F33" s="36">
        <f t="shared" si="11"/>
        <v>-0.0573283218956113</v>
      </c>
    </row>
    <row r="34" ht="14.75" spans="1:6">
      <c r="A34" s="35" t="s">
        <v>458</v>
      </c>
      <c r="B34" s="36">
        <f t="shared" si="15"/>
        <v>-0.186890329379693</v>
      </c>
      <c r="C34" s="37">
        <f t="shared" si="14"/>
        <v>0.022</v>
      </c>
      <c r="D34" s="38">
        <f t="shared" si="13"/>
        <v>0.7</v>
      </c>
      <c r="E34" s="36">
        <f t="shared" si="10"/>
        <v>-0.130823230565785</v>
      </c>
      <c r="F34" s="36">
        <f t="shared" si="11"/>
        <v>-0.0560670988139078</v>
      </c>
    </row>
    <row r="35" ht="14.75" spans="1:6">
      <c r="A35" s="35" t="s">
        <v>459</v>
      </c>
      <c r="B35" s="36">
        <f t="shared" si="15"/>
        <v>-0.18277874213334</v>
      </c>
      <c r="C35" s="37">
        <f t="shared" si="14"/>
        <v>0.022</v>
      </c>
      <c r="D35" s="38">
        <f t="shared" si="13"/>
        <v>0.7</v>
      </c>
      <c r="E35" s="36">
        <f t="shared" si="10"/>
        <v>-0.127945119493338</v>
      </c>
      <c r="F35" s="36">
        <f t="shared" si="11"/>
        <v>-0.0548336226400019</v>
      </c>
    </row>
    <row r="36" ht="14.75" spans="1:6">
      <c r="A36" s="35" t="s">
        <v>460</v>
      </c>
      <c r="B36" s="36">
        <f t="shared" si="15"/>
        <v>-0.178757609806406</v>
      </c>
      <c r="C36" s="37">
        <f t="shared" si="14"/>
        <v>0.022</v>
      </c>
      <c r="D36" s="38">
        <f t="shared" si="13"/>
        <v>0.7</v>
      </c>
      <c r="E36" s="36"/>
      <c r="F36" s="36"/>
    </row>
    <row r="37" ht="14.75" spans="1:6">
      <c r="A37" s="35" t="s">
        <v>461</v>
      </c>
      <c r="B37" s="36">
        <f t="shared" si="15"/>
        <v>-0.174824942390665</v>
      </c>
      <c r="C37" s="37">
        <f t="shared" si="14"/>
        <v>0.022</v>
      </c>
      <c r="D37" s="38">
        <f t="shared" si="13"/>
        <v>0.7</v>
      </c>
      <c r="E37" s="36"/>
      <c r="F37" s="36"/>
    </row>
    <row r="38" ht="14.75" spans="1:6">
      <c r="A38" s="35" t="s">
        <v>462</v>
      </c>
      <c r="B38" s="36">
        <f t="shared" si="15"/>
        <v>-0.170978793658071</v>
      </c>
      <c r="C38" s="37">
        <f t="shared" si="14"/>
        <v>0.022</v>
      </c>
      <c r="D38" s="38">
        <f t="shared" si="13"/>
        <v>0.7</v>
      </c>
      <c r="E38" s="36"/>
      <c r="F38" s="36"/>
    </row>
    <row r="39" ht="14.75" spans="1:6">
      <c r="A39" s="35" t="s">
        <v>463</v>
      </c>
      <c r="B39" s="36">
        <f t="shared" si="15"/>
        <v>-0.167217260197593</v>
      </c>
      <c r="C39" s="37">
        <f t="shared" si="14"/>
        <v>0.022</v>
      </c>
      <c r="D39" s="38">
        <f t="shared" si="13"/>
        <v>0.7</v>
      </c>
      <c r="E39" s="36"/>
      <c r="F39" s="36"/>
    </row>
    <row r="40" ht="14.75" spans="1:6">
      <c r="A40" s="39" t="s">
        <v>464</v>
      </c>
      <c r="B40" s="36">
        <f t="shared" si="15"/>
        <v>-0.163538480473246</v>
      </c>
      <c r="C40" s="37">
        <f t="shared" si="14"/>
        <v>0.022</v>
      </c>
      <c r="D40" s="38">
        <f t="shared" si="13"/>
        <v>0.7</v>
      </c>
      <c r="E40" s="36"/>
      <c r="F40" s="36"/>
    </row>
    <row r="41" ht="14.75" spans="1:6">
      <c r="A41" s="32" t="s">
        <v>465</v>
      </c>
      <c r="B41" s="40">
        <f t="shared" ref="B41:F41" si="16">SUM(B21:B40)</f>
        <v>-3.77228564765344</v>
      </c>
      <c r="C41" s="33"/>
      <c r="D41" s="33"/>
      <c r="E41" s="40">
        <f t="shared" si="16"/>
        <v>-2.04187799278922</v>
      </c>
      <c r="F41" s="40">
        <f t="shared" si="16"/>
        <v>-0.875090568338238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C96"/>
  <sheetViews>
    <sheetView topLeftCell="A76" workbookViewId="0">
      <selection activeCell="C1" sqref="C1:C96"/>
    </sheetView>
  </sheetViews>
  <sheetFormatPr defaultColWidth="8.72727272727273" defaultRowHeight="14" outlineLevelCol="2"/>
  <sheetData>
    <row r="1" spans="1:3">
      <c r="A1" s="1">
        <v>45658</v>
      </c>
      <c r="B1" s="2">
        <v>0</v>
      </c>
      <c r="C1" s="3">
        <v>317.6</v>
      </c>
    </row>
    <row r="2" spans="1:3">
      <c r="A2" s="1">
        <v>45658</v>
      </c>
      <c r="B2" s="2">
        <v>0.0104166666666667</v>
      </c>
      <c r="C2" s="3">
        <v>365.6</v>
      </c>
    </row>
    <row r="3" spans="1:3">
      <c r="A3" s="1">
        <v>45658</v>
      </c>
      <c r="B3" s="2">
        <v>0.0208333333333333</v>
      </c>
      <c r="C3" s="3">
        <v>364.8</v>
      </c>
    </row>
    <row r="4" spans="1:3">
      <c r="A4" s="1">
        <v>45658</v>
      </c>
      <c r="B4" s="2">
        <v>0.03125</v>
      </c>
      <c r="C4" s="3">
        <v>351.2</v>
      </c>
    </row>
    <row r="5" spans="1:3">
      <c r="A5" s="1">
        <v>45658</v>
      </c>
      <c r="B5" s="2">
        <v>0.0416666666666667</v>
      </c>
      <c r="C5" s="3">
        <v>340.8</v>
      </c>
    </row>
    <row r="6" spans="1:3">
      <c r="A6" s="1">
        <v>45658</v>
      </c>
      <c r="B6" s="2">
        <v>0.0520833333333333</v>
      </c>
      <c r="C6" s="3">
        <v>344.8</v>
      </c>
    </row>
    <row r="7" spans="1:3">
      <c r="A7" s="1">
        <v>45658</v>
      </c>
      <c r="B7" s="2">
        <v>0.0625</v>
      </c>
      <c r="C7" s="3">
        <v>342.4</v>
      </c>
    </row>
    <row r="8" spans="1:3">
      <c r="A8" s="1">
        <v>45658</v>
      </c>
      <c r="B8" s="2">
        <v>0.0729166666666667</v>
      </c>
      <c r="C8" s="3">
        <v>344</v>
      </c>
    </row>
    <row r="9" spans="1:3">
      <c r="A9" s="1">
        <v>45658</v>
      </c>
      <c r="B9" s="2">
        <v>0.0833333333333333</v>
      </c>
      <c r="C9" s="3">
        <v>336</v>
      </c>
    </row>
    <row r="10" spans="1:3">
      <c r="A10" s="1">
        <v>45658</v>
      </c>
      <c r="B10" s="2">
        <v>0.09375</v>
      </c>
      <c r="C10" s="3">
        <v>320.8</v>
      </c>
    </row>
    <row r="11" spans="1:3">
      <c r="A11" s="1">
        <v>45658</v>
      </c>
      <c r="B11" s="2">
        <v>0.104166666666667</v>
      </c>
      <c r="C11" s="3">
        <v>312</v>
      </c>
    </row>
    <row r="12" spans="1:3">
      <c r="A12" s="1">
        <v>45658</v>
      </c>
      <c r="B12" s="2">
        <v>0.114583333333333</v>
      </c>
      <c r="C12" s="3">
        <v>318.4</v>
      </c>
    </row>
    <row r="13" spans="1:3">
      <c r="A13" s="1">
        <v>45658</v>
      </c>
      <c r="B13" s="2">
        <v>0.125</v>
      </c>
      <c r="C13" s="3">
        <v>320.8</v>
      </c>
    </row>
    <row r="14" spans="1:3">
      <c r="A14" s="1">
        <v>45658</v>
      </c>
      <c r="B14" s="2">
        <v>0.135416666666667</v>
      </c>
      <c r="C14" s="3">
        <v>339.2</v>
      </c>
    </row>
    <row r="15" spans="1:3">
      <c r="A15" s="1">
        <v>45658</v>
      </c>
      <c r="B15" s="2">
        <v>0.145833333333333</v>
      </c>
      <c r="C15" s="3">
        <v>356.8</v>
      </c>
    </row>
    <row r="16" spans="1:3">
      <c r="A16" s="1">
        <v>45658</v>
      </c>
      <c r="B16" s="2">
        <v>0.15625</v>
      </c>
      <c r="C16" s="3">
        <v>353.6</v>
      </c>
    </row>
    <row r="17" spans="1:3">
      <c r="A17" s="1">
        <v>45658</v>
      </c>
      <c r="B17" s="2">
        <v>0.166666666666667</v>
      </c>
      <c r="C17" s="3">
        <v>378.4</v>
      </c>
    </row>
    <row r="18" spans="1:3">
      <c r="A18" s="1">
        <v>45658</v>
      </c>
      <c r="B18" s="2">
        <v>0.177083333333333</v>
      </c>
      <c r="C18" s="3">
        <v>357.6</v>
      </c>
    </row>
    <row r="19" spans="1:3">
      <c r="A19" s="1">
        <v>45658</v>
      </c>
      <c r="B19" s="2">
        <v>0.1875</v>
      </c>
      <c r="C19" s="3">
        <v>378.4</v>
      </c>
    </row>
    <row r="20" spans="1:3">
      <c r="A20" s="1">
        <v>45658</v>
      </c>
      <c r="B20" s="2">
        <v>0.197916666666667</v>
      </c>
      <c r="C20" s="3">
        <v>334.4</v>
      </c>
    </row>
    <row r="21" spans="1:3">
      <c r="A21" s="1">
        <v>45658</v>
      </c>
      <c r="B21" s="2">
        <v>0.208333333333333</v>
      </c>
      <c r="C21" s="3">
        <v>324</v>
      </c>
    </row>
    <row r="22" spans="1:3">
      <c r="A22" s="1">
        <v>45658</v>
      </c>
      <c r="B22" s="2">
        <v>0.21875</v>
      </c>
      <c r="C22" s="3">
        <v>331.2</v>
      </c>
    </row>
    <row r="23" spans="1:3">
      <c r="A23" s="1">
        <v>45658</v>
      </c>
      <c r="B23" s="2">
        <v>0.229166666666667</v>
      </c>
      <c r="C23" s="3">
        <v>336.8</v>
      </c>
    </row>
    <row r="24" spans="1:3">
      <c r="A24" s="1">
        <v>45658</v>
      </c>
      <c r="B24" s="2">
        <v>0.239583333333333</v>
      </c>
      <c r="C24" s="3">
        <v>368</v>
      </c>
    </row>
    <row r="25" spans="1:3">
      <c r="A25" s="1">
        <v>45658</v>
      </c>
      <c r="B25" s="2">
        <v>0.25</v>
      </c>
      <c r="C25" s="3">
        <v>346.4</v>
      </c>
    </row>
    <row r="26" spans="1:3">
      <c r="A26" s="1">
        <v>45658</v>
      </c>
      <c r="B26" s="2">
        <v>0.260416666666667</v>
      </c>
      <c r="C26" s="3">
        <v>352</v>
      </c>
    </row>
    <row r="27" spans="1:3">
      <c r="A27" s="1">
        <v>45658</v>
      </c>
      <c r="B27" s="2">
        <v>0.270833333333333</v>
      </c>
      <c r="C27" s="3">
        <v>378.4</v>
      </c>
    </row>
    <row r="28" spans="1:3">
      <c r="A28" s="1">
        <v>45658</v>
      </c>
      <c r="B28" s="2">
        <v>0.28125</v>
      </c>
      <c r="C28" s="3">
        <v>347.2</v>
      </c>
    </row>
    <row r="29" spans="1:3">
      <c r="A29" s="1">
        <v>45658</v>
      </c>
      <c r="B29" s="2">
        <v>0.291666666666667</v>
      </c>
      <c r="C29" s="3">
        <v>357.6</v>
      </c>
    </row>
    <row r="30" spans="1:3">
      <c r="A30" s="1">
        <v>45658</v>
      </c>
      <c r="B30" s="2">
        <v>0.302083333333333</v>
      </c>
      <c r="C30" s="3">
        <v>357.6</v>
      </c>
    </row>
    <row r="31" spans="1:3">
      <c r="A31" s="1">
        <v>45658</v>
      </c>
      <c r="B31" s="2">
        <v>0.3125</v>
      </c>
      <c r="C31" s="3">
        <v>391.2</v>
      </c>
    </row>
    <row r="32" spans="1:3">
      <c r="A32" s="1">
        <v>45658</v>
      </c>
      <c r="B32" s="2">
        <v>0.322916666666667</v>
      </c>
      <c r="C32" s="3">
        <v>388</v>
      </c>
    </row>
    <row r="33" spans="1:3">
      <c r="A33" s="1">
        <v>45658</v>
      </c>
      <c r="B33" s="2">
        <v>0.333333333333333</v>
      </c>
      <c r="C33" s="3">
        <v>344.8</v>
      </c>
    </row>
    <row r="34" spans="1:3">
      <c r="A34" s="1">
        <v>45658</v>
      </c>
      <c r="B34" s="2">
        <v>0.34375</v>
      </c>
      <c r="C34" s="3">
        <v>369.6</v>
      </c>
    </row>
    <row r="35" spans="1:3">
      <c r="A35" s="1">
        <v>45658</v>
      </c>
      <c r="B35" s="2">
        <v>0.354166666666667</v>
      </c>
      <c r="C35" s="3">
        <v>344.8</v>
      </c>
    </row>
    <row r="36" spans="1:3">
      <c r="A36" s="1">
        <v>45658</v>
      </c>
      <c r="B36" s="2">
        <v>0.364583333333333</v>
      </c>
      <c r="C36" s="3">
        <v>347.2</v>
      </c>
    </row>
    <row r="37" spans="1:3">
      <c r="A37" s="1">
        <v>45658</v>
      </c>
      <c r="B37" s="2">
        <v>0.375</v>
      </c>
      <c r="C37" s="3">
        <v>356</v>
      </c>
    </row>
    <row r="38" spans="1:3">
      <c r="A38" s="1">
        <v>45658</v>
      </c>
      <c r="B38" s="2">
        <v>0.385416666666667</v>
      </c>
      <c r="C38" s="3">
        <v>363.2</v>
      </c>
    </row>
    <row r="39" spans="1:3">
      <c r="A39" s="1">
        <v>45658</v>
      </c>
      <c r="B39" s="2">
        <v>0.395833333333333</v>
      </c>
      <c r="C39" s="3">
        <v>432.8</v>
      </c>
    </row>
    <row r="40" spans="1:3">
      <c r="A40" s="1">
        <v>45658</v>
      </c>
      <c r="B40" s="2">
        <v>0.40625</v>
      </c>
      <c r="C40" s="3">
        <v>389.6</v>
      </c>
    </row>
    <row r="41" spans="1:3">
      <c r="A41" s="1">
        <v>45658</v>
      </c>
      <c r="B41" s="2">
        <v>0.416666666666667</v>
      </c>
      <c r="C41" s="3">
        <v>384.8</v>
      </c>
    </row>
    <row r="42" spans="1:3">
      <c r="A42" s="1">
        <v>45658</v>
      </c>
      <c r="B42" s="2">
        <v>0.427083333333333</v>
      </c>
      <c r="C42" s="3">
        <v>422.4</v>
      </c>
    </row>
    <row r="43" spans="1:3">
      <c r="A43" s="1">
        <v>45658</v>
      </c>
      <c r="B43" s="2">
        <v>0.4375</v>
      </c>
      <c r="C43" s="3">
        <v>369.6</v>
      </c>
    </row>
    <row r="44" spans="1:3">
      <c r="A44" s="1">
        <v>45658</v>
      </c>
      <c r="B44" s="2">
        <v>0.447916666666667</v>
      </c>
      <c r="C44" s="3">
        <v>352.8</v>
      </c>
    </row>
    <row r="45" spans="1:3">
      <c r="A45" s="1">
        <v>45658</v>
      </c>
      <c r="B45" s="2">
        <v>0.458333333333333</v>
      </c>
      <c r="C45" s="3">
        <v>344</v>
      </c>
    </row>
    <row r="46" spans="1:3">
      <c r="A46" s="1">
        <v>45658</v>
      </c>
      <c r="B46" s="2">
        <v>0.46875</v>
      </c>
      <c r="C46" s="3">
        <v>348</v>
      </c>
    </row>
    <row r="47" spans="1:3">
      <c r="A47" s="1">
        <v>45658</v>
      </c>
      <c r="B47" s="2">
        <v>0.479166666666667</v>
      </c>
      <c r="C47" s="3">
        <v>372.8</v>
      </c>
    </row>
    <row r="48" spans="1:3">
      <c r="A48" s="1">
        <v>45658</v>
      </c>
      <c r="B48" s="2">
        <v>0.489583333333333</v>
      </c>
      <c r="C48" s="3">
        <v>352</v>
      </c>
    </row>
    <row r="49" spans="1:3">
      <c r="A49" s="1">
        <v>45658</v>
      </c>
      <c r="B49" s="2">
        <v>0.5</v>
      </c>
      <c r="C49" s="3">
        <v>396.8</v>
      </c>
    </row>
    <row r="50" spans="1:3">
      <c r="A50" s="1">
        <v>45658</v>
      </c>
      <c r="B50" s="2">
        <v>0.510416666666667</v>
      </c>
      <c r="C50" s="3">
        <v>376</v>
      </c>
    </row>
    <row r="51" spans="1:3">
      <c r="A51" s="1">
        <v>45658</v>
      </c>
      <c r="B51" s="2">
        <v>0.520833333333333</v>
      </c>
      <c r="C51" s="3">
        <v>369.6</v>
      </c>
    </row>
    <row r="52" spans="1:3">
      <c r="A52" s="1">
        <v>45658</v>
      </c>
      <c r="B52" s="2">
        <v>0.53125</v>
      </c>
      <c r="C52" s="3">
        <v>364</v>
      </c>
    </row>
    <row r="53" spans="1:3">
      <c r="A53" s="1">
        <v>45658</v>
      </c>
      <c r="B53" s="2">
        <v>0.541666666666667</v>
      </c>
      <c r="C53" s="3">
        <v>314.4</v>
      </c>
    </row>
    <row r="54" spans="1:3">
      <c r="A54" s="1">
        <v>45658</v>
      </c>
      <c r="B54" s="2">
        <v>0.552083333333333</v>
      </c>
      <c r="C54" s="3">
        <v>324.8</v>
      </c>
    </row>
    <row r="55" spans="1:3">
      <c r="A55" s="1">
        <v>45658</v>
      </c>
      <c r="B55" s="2">
        <v>0.5625</v>
      </c>
      <c r="C55" s="3">
        <v>314.4</v>
      </c>
    </row>
    <row r="56" spans="1:3">
      <c r="A56" s="1">
        <v>45658</v>
      </c>
      <c r="B56" s="2">
        <v>0.572916666666667</v>
      </c>
      <c r="C56" s="3">
        <v>322.4</v>
      </c>
    </row>
    <row r="57" spans="1:3">
      <c r="A57" s="1">
        <v>45658</v>
      </c>
      <c r="B57" s="2">
        <v>0.583333333333333</v>
      </c>
      <c r="C57" s="3">
        <v>338.4</v>
      </c>
    </row>
    <row r="58" spans="1:3">
      <c r="A58" s="1">
        <v>45658</v>
      </c>
      <c r="B58" s="2">
        <v>0.59375</v>
      </c>
      <c r="C58" s="3">
        <v>321.6</v>
      </c>
    </row>
    <row r="59" spans="1:3">
      <c r="A59" s="1">
        <v>45658</v>
      </c>
      <c r="B59" s="2">
        <v>0.604166666666667</v>
      </c>
      <c r="C59" s="3">
        <v>334.4</v>
      </c>
    </row>
    <row r="60" spans="1:3">
      <c r="A60" s="1">
        <v>45658</v>
      </c>
      <c r="B60" s="2">
        <v>0.614583333333333</v>
      </c>
      <c r="C60" s="3">
        <v>333.6</v>
      </c>
    </row>
    <row r="61" spans="1:3">
      <c r="A61" s="1">
        <v>45658</v>
      </c>
      <c r="B61" s="2">
        <v>0.625</v>
      </c>
      <c r="C61" s="3">
        <v>357.6</v>
      </c>
    </row>
    <row r="62" spans="1:3">
      <c r="A62" s="1">
        <v>45658</v>
      </c>
      <c r="B62" s="2">
        <v>0.635416666666667</v>
      </c>
      <c r="C62" s="3">
        <v>384.8</v>
      </c>
    </row>
    <row r="63" spans="1:3">
      <c r="A63" s="1">
        <v>45658</v>
      </c>
      <c r="B63" s="2">
        <v>0.645833333333333</v>
      </c>
      <c r="C63" s="3">
        <v>367.2</v>
      </c>
    </row>
    <row r="64" spans="1:3">
      <c r="A64" s="1">
        <v>45658</v>
      </c>
      <c r="B64" s="2">
        <v>0.65625</v>
      </c>
      <c r="C64" s="3">
        <v>379.2</v>
      </c>
    </row>
    <row r="65" spans="1:3">
      <c r="A65" s="1">
        <v>45658</v>
      </c>
      <c r="B65" s="2">
        <v>0.666666666666667</v>
      </c>
      <c r="C65" s="3">
        <v>380</v>
      </c>
    </row>
    <row r="66" spans="1:3">
      <c r="A66" s="1">
        <v>45658</v>
      </c>
      <c r="B66" s="2">
        <v>0.677083333333333</v>
      </c>
      <c r="C66" s="3">
        <v>376.8</v>
      </c>
    </row>
    <row r="67" spans="1:3">
      <c r="A67" s="1">
        <v>45658</v>
      </c>
      <c r="B67" s="2">
        <v>0.6875</v>
      </c>
      <c r="C67" s="3">
        <v>385.6</v>
      </c>
    </row>
    <row r="68" spans="1:3">
      <c r="A68" s="1">
        <v>45658</v>
      </c>
      <c r="B68" s="2">
        <v>0.697916666666667</v>
      </c>
      <c r="C68" s="3">
        <v>368</v>
      </c>
    </row>
    <row r="69" spans="1:3">
      <c r="A69" s="1">
        <v>45658</v>
      </c>
      <c r="B69" s="2">
        <v>0.708333333333333</v>
      </c>
      <c r="C69" s="3">
        <v>344</v>
      </c>
    </row>
    <row r="70" spans="1:3">
      <c r="A70" s="1">
        <v>45658</v>
      </c>
      <c r="B70" s="2">
        <v>0.71875</v>
      </c>
      <c r="C70" s="3">
        <v>362.4</v>
      </c>
    </row>
    <row r="71" spans="1:3">
      <c r="A71" s="1">
        <v>45658</v>
      </c>
      <c r="B71" s="2">
        <v>0.729166666666667</v>
      </c>
      <c r="C71" s="3">
        <v>334.4</v>
      </c>
    </row>
    <row r="72" spans="1:3">
      <c r="A72" s="1">
        <v>45658</v>
      </c>
      <c r="B72" s="2">
        <v>0.739583333333333</v>
      </c>
      <c r="C72" s="3">
        <v>340.8</v>
      </c>
    </row>
    <row r="73" spans="1:3">
      <c r="A73" s="1">
        <v>45658</v>
      </c>
      <c r="B73" s="2">
        <v>0.75</v>
      </c>
      <c r="C73" s="3">
        <v>332.8</v>
      </c>
    </row>
    <row r="74" spans="1:3">
      <c r="A74" s="1">
        <v>45658</v>
      </c>
      <c r="B74" s="2">
        <v>0.760416666666667</v>
      </c>
      <c r="C74" s="3">
        <v>377.6</v>
      </c>
    </row>
    <row r="75" spans="1:3">
      <c r="A75" s="1">
        <v>45658</v>
      </c>
      <c r="B75" s="2">
        <v>0.770833333333333</v>
      </c>
      <c r="C75" s="3">
        <v>366.4</v>
      </c>
    </row>
    <row r="76" spans="1:3">
      <c r="A76" s="1">
        <v>45658</v>
      </c>
      <c r="B76" s="2">
        <v>0.78125</v>
      </c>
      <c r="C76" s="3">
        <v>410.4</v>
      </c>
    </row>
    <row r="77" spans="1:3">
      <c r="A77" s="1">
        <v>45658</v>
      </c>
      <c r="B77" s="2">
        <v>0.791666666666667</v>
      </c>
      <c r="C77" s="3">
        <v>399.2</v>
      </c>
    </row>
    <row r="78" spans="1:3">
      <c r="A78" s="1">
        <v>45658</v>
      </c>
      <c r="B78" s="2">
        <v>0.802083333333333</v>
      </c>
      <c r="C78" s="3">
        <v>375.2</v>
      </c>
    </row>
    <row r="79" spans="1:3">
      <c r="A79" s="1">
        <v>45658</v>
      </c>
      <c r="B79" s="2">
        <v>0.8125</v>
      </c>
      <c r="C79" s="3">
        <v>368</v>
      </c>
    </row>
    <row r="80" spans="1:3">
      <c r="A80" s="1">
        <v>45658</v>
      </c>
      <c r="B80" s="2">
        <v>0.822916666666667</v>
      </c>
      <c r="C80" s="3">
        <v>372</v>
      </c>
    </row>
    <row r="81" spans="1:3">
      <c r="A81" s="1">
        <v>45658</v>
      </c>
      <c r="B81" s="2">
        <v>0.833333333333333</v>
      </c>
      <c r="C81" s="3">
        <v>373.6</v>
      </c>
    </row>
    <row r="82" spans="1:3">
      <c r="A82" s="1">
        <v>45658</v>
      </c>
      <c r="B82" s="2">
        <v>0.84375</v>
      </c>
      <c r="C82" s="3">
        <v>385.6</v>
      </c>
    </row>
    <row r="83" spans="1:3">
      <c r="A83" s="1">
        <v>45658</v>
      </c>
      <c r="B83" s="2">
        <v>0.854166666666667</v>
      </c>
      <c r="C83" s="3">
        <v>381.6</v>
      </c>
    </row>
    <row r="84" spans="1:3">
      <c r="A84" s="1">
        <v>45658</v>
      </c>
      <c r="B84" s="2">
        <v>0.864583333333333</v>
      </c>
      <c r="C84" s="3">
        <v>355.2</v>
      </c>
    </row>
    <row r="85" spans="1:3">
      <c r="A85" s="1">
        <v>45658</v>
      </c>
      <c r="B85" s="2">
        <v>0.875</v>
      </c>
      <c r="C85" s="3">
        <v>356</v>
      </c>
    </row>
    <row r="86" spans="1:3">
      <c r="A86" s="1">
        <v>45658</v>
      </c>
      <c r="B86" s="2">
        <v>0.885416666666667</v>
      </c>
      <c r="C86" s="3">
        <v>353.6</v>
      </c>
    </row>
    <row r="87" spans="1:3">
      <c r="A87" s="1">
        <v>45658</v>
      </c>
      <c r="B87" s="2">
        <v>0.895833333333333</v>
      </c>
      <c r="C87" s="3">
        <v>363.2</v>
      </c>
    </row>
    <row r="88" spans="1:3">
      <c r="A88" s="1">
        <v>45658</v>
      </c>
      <c r="B88" s="2">
        <v>0.90625</v>
      </c>
      <c r="C88" s="3">
        <v>324</v>
      </c>
    </row>
    <row r="89" spans="1:3">
      <c r="A89" s="1">
        <v>45658</v>
      </c>
      <c r="B89" s="2">
        <v>0.916666666666667</v>
      </c>
      <c r="C89" s="3">
        <v>321.6</v>
      </c>
    </row>
    <row r="90" spans="1:3">
      <c r="A90" s="1">
        <v>45658</v>
      </c>
      <c r="B90" s="2">
        <v>0.927083333333333</v>
      </c>
      <c r="C90" s="3">
        <v>327.2</v>
      </c>
    </row>
    <row r="91" spans="1:3">
      <c r="A91" s="1">
        <v>45658</v>
      </c>
      <c r="B91" s="2">
        <v>0.9375</v>
      </c>
      <c r="C91" s="3">
        <v>307.2</v>
      </c>
    </row>
    <row r="92" spans="1:3">
      <c r="A92" s="1">
        <v>45658</v>
      </c>
      <c r="B92" s="2">
        <v>0.947916666666667</v>
      </c>
      <c r="C92" s="3">
        <v>308</v>
      </c>
    </row>
    <row r="93" spans="1:3">
      <c r="A93" s="1">
        <v>45658</v>
      </c>
      <c r="B93" s="2">
        <v>0.958333333333333</v>
      </c>
      <c r="C93" s="3">
        <v>300.8</v>
      </c>
    </row>
    <row r="94" spans="1:3">
      <c r="A94" s="1">
        <v>45658</v>
      </c>
      <c r="B94" s="2">
        <v>0.96875</v>
      </c>
      <c r="C94" s="3">
        <v>323.2</v>
      </c>
    </row>
    <row r="95" spans="1:3">
      <c r="A95" s="1">
        <v>45658</v>
      </c>
      <c r="B95" s="2">
        <v>0.979166666666667</v>
      </c>
      <c r="C95" s="3">
        <v>307.2</v>
      </c>
    </row>
    <row r="96" spans="1:3">
      <c r="A96" s="1">
        <v>45658</v>
      </c>
      <c r="B96" s="2">
        <v>0.989583333333333</v>
      </c>
      <c r="C96" s="3">
        <v>354.4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基本数据输入&amp;测算结果</vt:lpstr>
      <vt:lpstr>负荷数据&amp;测算</vt:lpstr>
      <vt:lpstr>经济测算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戴舒帆</dc:creator>
  <cp:lastModifiedBy>8309</cp:lastModifiedBy>
  <dcterms:created xsi:type="dcterms:W3CDTF">2023-10-24T03:24:00Z</dcterms:created>
  <dcterms:modified xsi:type="dcterms:W3CDTF">2025-11-20T13:04:17Z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196FFE30055046F4844F87223F2C6536_13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